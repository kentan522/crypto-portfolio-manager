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defaultThemeVersion="166925"/>
  <mc:AlternateContent xmlns:mc="http://schemas.openxmlformats.org/markup-compatibility/2006">
    <mc:Choice Requires="x15">
      <x15ac:absPath xmlns:x15ac="http://schemas.microsoft.com/office/spreadsheetml/2010/11/ac" url="/Users/ken/Desktop/"/>
    </mc:Choice>
  </mc:AlternateContent>
  <xr:revisionPtr revIDLastSave="0" documentId="13_ncr:1_{EFF9FD44-FA0A-6846-BB69-EB5EFCE151D7}" xr6:coauthVersionLast="47" xr6:coauthVersionMax="47" xr10:uidLastSave="{00000000-0000-0000-0000-000000000000}"/>
  <bookViews>
    <workbookView xWindow="320" yWindow="520" windowWidth="38400" windowHeight="19300" xr2:uid="{00000000-000D-0000-FFFF-FFFF00000000}"/>
  </bookViews>
  <sheets>
    <sheet name="GH sheet" sheetId="8" r:id="rId1"/>
    <sheet name="Data" sheetId="4" r:id="rId2"/>
    <sheet name="Sheet2" sheetId="2" state="hidden" r:id="rId3"/>
    <sheet name="Sheet3" sheetId="3" state="hidden" r:id="rId4"/>
    <sheet name="Sheet4" sheetId="7" state="hidden" r:id="rId5"/>
  </sheets>
  <definedNames>
    <definedName name="_xlnm._FilterDatabase" localSheetId="1" hidden="1">Data!$L$4:$U$18</definedName>
    <definedName name="coingeckopage3" localSheetId="4">Sheet4!$A$1:$J$1289</definedName>
    <definedName name="en" localSheetId="2">Sheet2!$A$1:$J$1287</definedName>
    <definedName name="en?page_2" localSheetId="3">Sheet3!$A$1:$J$1288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14" i="8" l="1"/>
  <c r="C4" i="8"/>
  <c r="F5" i="4"/>
  <c r="K5" i="4" s="1"/>
  <c r="F6" i="4"/>
  <c r="K6" i="4" s="1"/>
  <c r="F7" i="4"/>
  <c r="K7" i="4" s="1"/>
  <c r="F8" i="4"/>
  <c r="K8" i="4" s="1"/>
  <c r="F9" i="4"/>
  <c r="K9" i="4" s="1"/>
  <c r="F10" i="4"/>
  <c r="K10" i="4" s="1"/>
  <c r="F11" i="4"/>
  <c r="K11" i="4" s="1"/>
  <c r="F12" i="4"/>
  <c r="K12" i="4" s="1"/>
  <c r="F13" i="4"/>
  <c r="K13" i="4" s="1"/>
  <c r="F14" i="4"/>
  <c r="K14" i="4" s="1"/>
  <c r="F15" i="4"/>
  <c r="K15" i="4" s="1"/>
  <c r="F16" i="4"/>
  <c r="K16" i="4" s="1"/>
  <c r="F17" i="4"/>
  <c r="K17" i="4" s="1"/>
  <c r="F18" i="4"/>
  <c r="K18" i="4" s="1"/>
  <c r="F19" i="4"/>
  <c r="K19" i="4" s="1"/>
  <c r="F20" i="4"/>
  <c r="K20" i="4" s="1"/>
  <c r="F21" i="4"/>
  <c r="K21" i="4" s="1"/>
  <c r="F22" i="4"/>
  <c r="K22" i="4" s="1"/>
  <c r="F23" i="4"/>
  <c r="K23" i="4" s="1"/>
  <c r="F24" i="4"/>
  <c r="K24" i="4" s="1"/>
  <c r="F25" i="4"/>
  <c r="K25" i="4" s="1"/>
  <c r="F26" i="4"/>
  <c r="K26" i="4" s="1"/>
  <c r="F27" i="4"/>
  <c r="K27" i="4" s="1"/>
  <c r="F28" i="4"/>
  <c r="K28" i="4" s="1"/>
  <c r="F29" i="4"/>
  <c r="K29" i="4" s="1"/>
  <c r="F30" i="4"/>
  <c r="K30" i="4" s="1"/>
  <c r="F31" i="4"/>
  <c r="K31" i="4" s="1"/>
  <c r="F32" i="4"/>
  <c r="K32" i="4" s="1"/>
  <c r="F33" i="4"/>
  <c r="K33" i="4" s="1"/>
  <c r="F34" i="4"/>
  <c r="K34" i="4" s="1"/>
  <c r="F35" i="4"/>
  <c r="K35" i="4" s="1"/>
  <c r="F36" i="4"/>
  <c r="K36" i="4" s="1"/>
  <c r="F37" i="4"/>
  <c r="K37" i="4" s="1"/>
  <c r="F38" i="4"/>
  <c r="K38" i="4" s="1"/>
  <c r="F39" i="4"/>
  <c r="K39" i="4" s="1"/>
  <c r="F40" i="4"/>
  <c r="K40" i="4" s="1"/>
  <c r="F41" i="4"/>
  <c r="K41" i="4" s="1"/>
  <c r="F42" i="4"/>
  <c r="K42" i="4" s="1"/>
  <c r="F43" i="4"/>
  <c r="K43" i="4" s="1"/>
  <c r="F44" i="4"/>
  <c r="K44" i="4" s="1"/>
  <c r="F45" i="4"/>
  <c r="K45" i="4" s="1"/>
  <c r="F46" i="4"/>
  <c r="K46" i="4" s="1"/>
  <c r="F47" i="4"/>
  <c r="K47" i="4" s="1"/>
  <c r="F48" i="4"/>
  <c r="K48" i="4" s="1"/>
  <c r="F49" i="4"/>
  <c r="K49" i="4" s="1"/>
  <c r="F50" i="4"/>
  <c r="K50" i="4" s="1"/>
  <c r="F51" i="4"/>
  <c r="K51" i="4" s="1"/>
  <c r="F52" i="4"/>
  <c r="K52" i="4" s="1"/>
  <c r="F53" i="4"/>
  <c r="K53" i="4" s="1"/>
  <c r="F54" i="4"/>
  <c r="K54" i="4" s="1"/>
  <c r="F55" i="4"/>
  <c r="K55" i="4" s="1"/>
  <c r="F56" i="4"/>
  <c r="K56" i="4" s="1"/>
  <c r="F57" i="4"/>
  <c r="K57" i="4" s="1"/>
  <c r="F58" i="4"/>
  <c r="K58" i="4" s="1"/>
  <c r="F59" i="4"/>
  <c r="K59" i="4" s="1"/>
  <c r="F60" i="4"/>
  <c r="K60" i="4" s="1"/>
  <c r="F61" i="4"/>
  <c r="K61" i="4" s="1"/>
  <c r="F62" i="4"/>
  <c r="K62" i="4" s="1"/>
  <c r="F63" i="4"/>
  <c r="K63" i="4" s="1"/>
  <c r="F64" i="4"/>
  <c r="K64" i="4" s="1"/>
  <c r="F65" i="4"/>
  <c r="K65" i="4" s="1"/>
  <c r="F66" i="4"/>
  <c r="K66" i="4" s="1"/>
  <c r="F67" i="4"/>
  <c r="K67" i="4" s="1"/>
  <c r="F68" i="4"/>
  <c r="K68" i="4" s="1"/>
  <c r="F69" i="4"/>
  <c r="K69" i="4" s="1"/>
  <c r="F70" i="4"/>
  <c r="K70" i="4" s="1"/>
  <c r="F71" i="4"/>
  <c r="K71" i="4" s="1"/>
  <c r="F72" i="4"/>
  <c r="K72" i="4" s="1"/>
  <c r="F73" i="4"/>
  <c r="K73" i="4" s="1"/>
  <c r="F74" i="4"/>
  <c r="K74" i="4" s="1"/>
  <c r="F75" i="4"/>
  <c r="K75" i="4" s="1"/>
  <c r="F76" i="4"/>
  <c r="K76" i="4" s="1"/>
  <c r="F77" i="4"/>
  <c r="K77" i="4" s="1"/>
  <c r="F78" i="4"/>
  <c r="K78" i="4" s="1"/>
  <c r="F79" i="4"/>
  <c r="K79" i="4" s="1"/>
  <c r="F80" i="4"/>
  <c r="K80" i="4" s="1"/>
  <c r="F81" i="4"/>
  <c r="K81" i="4" s="1"/>
  <c r="F82" i="4"/>
  <c r="K82" i="4" s="1"/>
  <c r="F83" i="4"/>
  <c r="K83" i="4" s="1"/>
  <c r="F84" i="4"/>
  <c r="K84" i="4" s="1"/>
  <c r="F85" i="4"/>
  <c r="K85" i="4" s="1"/>
  <c r="F86" i="4"/>
  <c r="K86" i="4" s="1"/>
  <c r="F87" i="4"/>
  <c r="K87" i="4" s="1"/>
  <c r="F88" i="4"/>
  <c r="K88" i="4" s="1"/>
  <c r="F89" i="4"/>
  <c r="K89" i="4" s="1"/>
  <c r="F90" i="4"/>
  <c r="K90" i="4" s="1"/>
  <c r="F91" i="4"/>
  <c r="K91" i="4" s="1"/>
  <c r="F92" i="4"/>
  <c r="K92" i="4" s="1"/>
  <c r="F93" i="4"/>
  <c r="K93" i="4" s="1"/>
  <c r="F94" i="4"/>
  <c r="K94" i="4" s="1"/>
  <c r="F95" i="4"/>
  <c r="K95" i="4" s="1"/>
  <c r="F96" i="4"/>
  <c r="K96" i="4" s="1"/>
  <c r="F97" i="4"/>
  <c r="K97" i="4" s="1"/>
  <c r="F98" i="4"/>
  <c r="K98" i="4" s="1"/>
  <c r="F99" i="4"/>
  <c r="K99" i="4" s="1"/>
  <c r="F100" i="4"/>
  <c r="K100" i="4" s="1"/>
  <c r="F101" i="4"/>
  <c r="K101" i="4" s="1"/>
  <c r="F102" i="4"/>
  <c r="K102" i="4" s="1"/>
  <c r="F103" i="4"/>
  <c r="K103" i="4" s="1"/>
  <c r="F104" i="4"/>
  <c r="K104" i="4" s="1"/>
  <c r="F105" i="4"/>
  <c r="K105" i="4" s="1"/>
  <c r="F106" i="4"/>
  <c r="K106" i="4" s="1"/>
  <c r="F107" i="4"/>
  <c r="K107" i="4" s="1"/>
  <c r="F108" i="4"/>
  <c r="K108" i="4" s="1"/>
  <c r="F109" i="4"/>
  <c r="K109" i="4" s="1"/>
  <c r="F110" i="4"/>
  <c r="K110" i="4" s="1"/>
  <c r="F111" i="4"/>
  <c r="K111" i="4" s="1"/>
  <c r="F112" i="4"/>
  <c r="K112" i="4" s="1"/>
  <c r="F113" i="4"/>
  <c r="K113" i="4" s="1"/>
  <c r="F114" i="4"/>
  <c r="K114" i="4" s="1"/>
  <c r="F115" i="4"/>
  <c r="K115" i="4" s="1"/>
  <c r="F116" i="4"/>
  <c r="K116" i="4" s="1"/>
  <c r="F117" i="4"/>
  <c r="K117" i="4" s="1"/>
  <c r="F118" i="4"/>
  <c r="K118" i="4" s="1"/>
  <c r="F119" i="4"/>
  <c r="K119" i="4" s="1"/>
  <c r="F120" i="4"/>
  <c r="K120" i="4" s="1"/>
  <c r="F121" i="4"/>
  <c r="K121" i="4" s="1"/>
  <c r="F122" i="4"/>
  <c r="K122" i="4" s="1"/>
  <c r="F123" i="4"/>
  <c r="K123" i="4" s="1"/>
  <c r="F124" i="4"/>
  <c r="K124" i="4" s="1"/>
  <c r="F125" i="4"/>
  <c r="K125" i="4" s="1"/>
  <c r="F126" i="4"/>
  <c r="K126" i="4" s="1"/>
  <c r="F127" i="4"/>
  <c r="K127" i="4" s="1"/>
  <c r="F128" i="4"/>
  <c r="K128" i="4" s="1"/>
  <c r="F129" i="4"/>
  <c r="K129" i="4" s="1"/>
  <c r="F130" i="4"/>
  <c r="K130" i="4" s="1"/>
  <c r="F131" i="4"/>
  <c r="K131" i="4" s="1"/>
  <c r="F132" i="4"/>
  <c r="K132" i="4" s="1"/>
  <c r="F133" i="4"/>
  <c r="K133" i="4" s="1"/>
  <c r="F134" i="4"/>
  <c r="K134" i="4" s="1"/>
  <c r="F135" i="4"/>
  <c r="K135" i="4" s="1"/>
  <c r="F136" i="4"/>
  <c r="K136" i="4" s="1"/>
  <c r="F137" i="4"/>
  <c r="K137" i="4" s="1"/>
  <c r="F138" i="4"/>
  <c r="K138" i="4" s="1"/>
  <c r="F139" i="4"/>
  <c r="K139" i="4" s="1"/>
  <c r="F140" i="4"/>
  <c r="K140" i="4" s="1"/>
  <c r="F141" i="4"/>
  <c r="K141" i="4" s="1"/>
  <c r="F142" i="4"/>
  <c r="K142" i="4" s="1"/>
  <c r="F143" i="4"/>
  <c r="K143" i="4" s="1"/>
  <c r="F144" i="4"/>
  <c r="K144" i="4" s="1"/>
  <c r="F145" i="4"/>
  <c r="K145" i="4" s="1"/>
  <c r="F146" i="4"/>
  <c r="K146" i="4" s="1"/>
  <c r="F147" i="4"/>
  <c r="K147" i="4" s="1"/>
  <c r="F148" i="4"/>
  <c r="K148" i="4" s="1"/>
  <c r="F149" i="4"/>
  <c r="K149" i="4" s="1"/>
  <c r="F150" i="4"/>
  <c r="K150" i="4" s="1"/>
  <c r="F151" i="4"/>
  <c r="K151" i="4" s="1"/>
  <c r="F152" i="4"/>
  <c r="K152" i="4" s="1"/>
  <c r="F153" i="4"/>
  <c r="K153" i="4" s="1"/>
  <c r="F154" i="4"/>
  <c r="K154" i="4" s="1"/>
  <c r="F155" i="4"/>
  <c r="K155" i="4" s="1"/>
  <c r="F156" i="4"/>
  <c r="K156" i="4" s="1"/>
  <c r="F157" i="4"/>
  <c r="K157" i="4" s="1"/>
  <c r="F158" i="4"/>
  <c r="K158" i="4" s="1"/>
  <c r="F159" i="4"/>
  <c r="K159" i="4" s="1"/>
  <c r="F160" i="4"/>
  <c r="K160" i="4" s="1"/>
  <c r="F161" i="4"/>
  <c r="K161" i="4" s="1"/>
  <c r="F162" i="4"/>
  <c r="K162" i="4" s="1"/>
  <c r="F163" i="4"/>
  <c r="K163" i="4" s="1"/>
  <c r="F164" i="4"/>
  <c r="K164" i="4" s="1"/>
  <c r="F165" i="4"/>
  <c r="K165" i="4" s="1"/>
  <c r="F166" i="4"/>
  <c r="K166" i="4" s="1"/>
  <c r="F167" i="4"/>
  <c r="K167" i="4" s="1"/>
  <c r="F168" i="4"/>
  <c r="K168" i="4" s="1"/>
  <c r="F169" i="4"/>
  <c r="K169" i="4" s="1"/>
  <c r="F170" i="4"/>
  <c r="K170" i="4" s="1"/>
  <c r="F171" i="4"/>
  <c r="K171" i="4" s="1"/>
  <c r="F172" i="4"/>
  <c r="K172" i="4" s="1"/>
  <c r="F173" i="4"/>
  <c r="K173" i="4" s="1"/>
  <c r="F174" i="4"/>
  <c r="K174" i="4" s="1"/>
  <c r="F175" i="4"/>
  <c r="K175" i="4" s="1"/>
  <c r="F176" i="4"/>
  <c r="K176" i="4" s="1"/>
  <c r="F177" i="4"/>
  <c r="K177" i="4" s="1"/>
  <c r="F178" i="4"/>
  <c r="K178" i="4" s="1"/>
  <c r="F179" i="4"/>
  <c r="K179" i="4" s="1"/>
  <c r="F180" i="4"/>
  <c r="K180" i="4" s="1"/>
  <c r="F181" i="4"/>
  <c r="K181" i="4" s="1"/>
  <c r="F182" i="4"/>
  <c r="K182" i="4" s="1"/>
  <c r="F183" i="4"/>
  <c r="K183" i="4" s="1"/>
  <c r="F184" i="4"/>
  <c r="K184" i="4" s="1"/>
  <c r="F185" i="4"/>
  <c r="K185" i="4" s="1"/>
  <c r="F186" i="4"/>
  <c r="K186" i="4" s="1"/>
  <c r="F187" i="4"/>
  <c r="K187" i="4" s="1"/>
  <c r="F188" i="4"/>
  <c r="K188" i="4" s="1"/>
  <c r="F189" i="4"/>
  <c r="K189" i="4" s="1"/>
  <c r="F190" i="4"/>
  <c r="K190" i="4" s="1"/>
  <c r="F191" i="4"/>
  <c r="K191" i="4" s="1"/>
  <c r="F192" i="4"/>
  <c r="K192" i="4" s="1"/>
  <c r="F193" i="4"/>
  <c r="K193" i="4" s="1"/>
  <c r="F194" i="4"/>
  <c r="K194" i="4" s="1"/>
  <c r="F195" i="4"/>
  <c r="K195" i="4" s="1"/>
  <c r="F196" i="4"/>
  <c r="K196" i="4" s="1"/>
  <c r="F197" i="4"/>
  <c r="K197" i="4" s="1"/>
  <c r="F198" i="4"/>
  <c r="K198" i="4" s="1"/>
  <c r="F199" i="4"/>
  <c r="K199" i="4" s="1"/>
  <c r="F200" i="4"/>
  <c r="K200" i="4" s="1"/>
  <c r="F201" i="4"/>
  <c r="K201" i="4" s="1"/>
  <c r="F202" i="4"/>
  <c r="K202" i="4" s="1"/>
  <c r="F203" i="4"/>
  <c r="K203" i="4" s="1"/>
  <c r="F204" i="4"/>
  <c r="K204" i="4" s="1"/>
  <c r="F205" i="4"/>
  <c r="K205" i="4" s="1"/>
  <c r="F206" i="4"/>
  <c r="K206" i="4" s="1"/>
  <c r="F207" i="4"/>
  <c r="K207" i="4" s="1"/>
  <c r="F208" i="4"/>
  <c r="K208" i="4" s="1"/>
  <c r="F209" i="4"/>
  <c r="K209" i="4" s="1"/>
  <c r="F210" i="4"/>
  <c r="K210" i="4" s="1"/>
  <c r="F211" i="4"/>
  <c r="K211" i="4" s="1"/>
  <c r="F212" i="4"/>
  <c r="K212" i="4" s="1"/>
  <c r="F213" i="4"/>
  <c r="K213" i="4" s="1"/>
  <c r="F214" i="4"/>
  <c r="K214" i="4" s="1"/>
  <c r="F215" i="4"/>
  <c r="K215" i="4" s="1"/>
  <c r="F216" i="4"/>
  <c r="K216" i="4" s="1"/>
  <c r="F217" i="4"/>
  <c r="K217" i="4" s="1"/>
  <c r="F218" i="4"/>
  <c r="K218" i="4" s="1"/>
  <c r="F219" i="4"/>
  <c r="K219" i="4" s="1"/>
  <c r="F220" i="4"/>
  <c r="K220" i="4" s="1"/>
  <c r="F221" i="4"/>
  <c r="K221" i="4" s="1"/>
  <c r="F222" i="4"/>
  <c r="K222" i="4" s="1"/>
  <c r="F223" i="4"/>
  <c r="K223" i="4" s="1"/>
  <c r="F224" i="4"/>
  <c r="K224" i="4" s="1"/>
  <c r="F225" i="4"/>
  <c r="K225" i="4" s="1"/>
  <c r="F226" i="4"/>
  <c r="K226" i="4" s="1"/>
  <c r="F227" i="4"/>
  <c r="K227" i="4" s="1"/>
  <c r="F228" i="4"/>
  <c r="K228" i="4" s="1"/>
  <c r="F229" i="4"/>
  <c r="K229" i="4" s="1"/>
  <c r="F230" i="4"/>
  <c r="K230" i="4" s="1"/>
  <c r="F231" i="4"/>
  <c r="K231" i="4" s="1"/>
  <c r="F232" i="4"/>
  <c r="K232" i="4" s="1"/>
  <c r="F233" i="4"/>
  <c r="K233" i="4" s="1"/>
  <c r="F234" i="4"/>
  <c r="K234" i="4" s="1"/>
  <c r="F235" i="4"/>
  <c r="K235" i="4" s="1"/>
  <c r="F236" i="4"/>
  <c r="K236" i="4" s="1"/>
  <c r="F237" i="4"/>
  <c r="K237" i="4" s="1"/>
  <c r="F238" i="4"/>
  <c r="K238" i="4" s="1"/>
  <c r="F239" i="4"/>
  <c r="K239" i="4" s="1"/>
  <c r="F240" i="4"/>
  <c r="K240" i="4" s="1"/>
  <c r="F241" i="4"/>
  <c r="K241" i="4" s="1"/>
  <c r="F242" i="4"/>
  <c r="K242" i="4" s="1"/>
  <c r="F243" i="4"/>
  <c r="K243" i="4" s="1"/>
  <c r="F244" i="4"/>
  <c r="K244" i="4" s="1"/>
  <c r="F245" i="4"/>
  <c r="K245" i="4" s="1"/>
  <c r="F246" i="4"/>
  <c r="K246" i="4" s="1"/>
  <c r="F247" i="4"/>
  <c r="K247" i="4" s="1"/>
  <c r="F248" i="4"/>
  <c r="K248" i="4" s="1"/>
  <c r="F249" i="4"/>
  <c r="K249" i="4" s="1"/>
  <c r="F250" i="4"/>
  <c r="K250" i="4" s="1"/>
  <c r="F251" i="4"/>
  <c r="K251" i="4" s="1"/>
  <c r="F252" i="4"/>
  <c r="K252" i="4" s="1"/>
  <c r="F253" i="4"/>
  <c r="K253" i="4" s="1"/>
  <c r="F254" i="4"/>
  <c r="K254" i="4" s="1"/>
  <c r="F255" i="4"/>
  <c r="K255" i="4" s="1"/>
  <c r="F256" i="4"/>
  <c r="K256" i="4" s="1"/>
  <c r="F257" i="4"/>
  <c r="K257" i="4" s="1"/>
  <c r="F258" i="4"/>
  <c r="K258" i="4" s="1"/>
  <c r="F259" i="4"/>
  <c r="K259" i="4" s="1"/>
  <c r="F260" i="4"/>
  <c r="K260" i="4" s="1"/>
  <c r="F261" i="4"/>
  <c r="K261" i="4" s="1"/>
  <c r="F262" i="4"/>
  <c r="K262" i="4" s="1"/>
  <c r="F263" i="4"/>
  <c r="K263" i="4" s="1"/>
  <c r="F264" i="4"/>
  <c r="K264" i="4" s="1"/>
  <c r="F265" i="4"/>
  <c r="K265" i="4" s="1"/>
  <c r="F266" i="4"/>
  <c r="K266" i="4" s="1"/>
  <c r="F267" i="4"/>
  <c r="K267" i="4" s="1"/>
  <c r="F268" i="4"/>
  <c r="K268" i="4" s="1"/>
  <c r="F269" i="4"/>
  <c r="K269" i="4" s="1"/>
  <c r="F270" i="4"/>
  <c r="K270" i="4" s="1"/>
  <c r="F271" i="4"/>
  <c r="K271" i="4" s="1"/>
  <c r="F272" i="4"/>
  <c r="K272" i="4" s="1"/>
  <c r="F273" i="4"/>
  <c r="K273" i="4" s="1"/>
  <c r="F274" i="4"/>
  <c r="K274" i="4" s="1"/>
  <c r="F275" i="4"/>
  <c r="K275" i="4" s="1"/>
  <c r="F276" i="4"/>
  <c r="K276" i="4" s="1"/>
  <c r="F277" i="4"/>
  <c r="K277" i="4" s="1"/>
  <c r="F278" i="4"/>
  <c r="K278" i="4" s="1"/>
  <c r="F279" i="4"/>
  <c r="K279" i="4" s="1"/>
  <c r="F280" i="4"/>
  <c r="K280" i="4" s="1"/>
  <c r="F281" i="4"/>
  <c r="K281" i="4" s="1"/>
  <c r="F282" i="4"/>
  <c r="K282" i="4" s="1"/>
  <c r="F283" i="4"/>
  <c r="K283" i="4" s="1"/>
  <c r="F284" i="4"/>
  <c r="K284" i="4" s="1"/>
  <c r="F285" i="4"/>
  <c r="K285" i="4" s="1"/>
  <c r="F286" i="4"/>
  <c r="K286" i="4" s="1"/>
  <c r="F287" i="4"/>
  <c r="K287" i="4" s="1"/>
  <c r="F288" i="4"/>
  <c r="K288" i="4" s="1"/>
  <c r="F289" i="4"/>
  <c r="K289" i="4" s="1"/>
  <c r="F290" i="4"/>
  <c r="K290" i="4" s="1"/>
  <c r="F291" i="4"/>
  <c r="K291" i="4" s="1"/>
  <c r="F292" i="4"/>
  <c r="K292" i="4" s="1"/>
  <c r="F293" i="4"/>
  <c r="K293" i="4" s="1"/>
  <c r="F294" i="4"/>
  <c r="K294" i="4" s="1"/>
  <c r="F295" i="4"/>
  <c r="K295" i="4" s="1"/>
  <c r="F296" i="4"/>
  <c r="K296" i="4" s="1"/>
  <c r="F297" i="4"/>
  <c r="K297" i="4" s="1"/>
  <c r="F298" i="4"/>
  <c r="F299" i="4"/>
  <c r="F300" i="4"/>
  <c r="F301" i="4"/>
  <c r="F302" i="4"/>
  <c r="F303" i="4"/>
  <c r="F304" i="4"/>
  <c r="O7" i="8"/>
  <c r="C206" i="4"/>
  <c r="A206" i="4" s="1"/>
  <c r="D206" i="4"/>
  <c r="J206" i="4" s="1"/>
  <c r="E206" i="4"/>
  <c r="G206" i="4"/>
  <c r="H206" i="4"/>
  <c r="I206" i="4"/>
  <c r="C207" i="4"/>
  <c r="A207" i="4" s="1"/>
  <c r="D207" i="4"/>
  <c r="J207" i="4" s="1"/>
  <c r="E207" i="4"/>
  <c r="G207" i="4"/>
  <c r="H207" i="4"/>
  <c r="I207" i="4"/>
  <c r="C208" i="4"/>
  <c r="A208" i="4" s="1"/>
  <c r="D208" i="4"/>
  <c r="J208" i="4" s="1"/>
  <c r="E208" i="4"/>
  <c r="G208" i="4"/>
  <c r="H208" i="4"/>
  <c r="I208" i="4"/>
  <c r="C209" i="4"/>
  <c r="A209" i="4" s="1"/>
  <c r="D209" i="4"/>
  <c r="J209" i="4" s="1"/>
  <c r="E209" i="4"/>
  <c r="G209" i="4"/>
  <c r="H209" i="4"/>
  <c r="I209" i="4"/>
  <c r="C210" i="4"/>
  <c r="A210" i="4" s="1"/>
  <c r="D210" i="4"/>
  <c r="J210" i="4" s="1"/>
  <c r="E210" i="4"/>
  <c r="G210" i="4"/>
  <c r="H210" i="4"/>
  <c r="I210" i="4"/>
  <c r="C211" i="4"/>
  <c r="A211" i="4" s="1"/>
  <c r="D211" i="4"/>
  <c r="J211" i="4" s="1"/>
  <c r="E211" i="4"/>
  <c r="G211" i="4"/>
  <c r="H211" i="4"/>
  <c r="I211" i="4"/>
  <c r="C212" i="4"/>
  <c r="A212" i="4" s="1"/>
  <c r="D212" i="4"/>
  <c r="J212" i="4" s="1"/>
  <c r="E212" i="4"/>
  <c r="G212" i="4"/>
  <c r="H212" i="4"/>
  <c r="I212" i="4"/>
  <c r="C213" i="4"/>
  <c r="A213" i="4" s="1"/>
  <c r="D213" i="4"/>
  <c r="J213" i="4" s="1"/>
  <c r="E213" i="4"/>
  <c r="G213" i="4"/>
  <c r="H213" i="4"/>
  <c r="I213" i="4"/>
  <c r="C214" i="4"/>
  <c r="A214" i="4" s="1"/>
  <c r="D214" i="4"/>
  <c r="J214" i="4" s="1"/>
  <c r="E214" i="4"/>
  <c r="G214" i="4"/>
  <c r="H214" i="4"/>
  <c r="I214" i="4"/>
  <c r="C215" i="4"/>
  <c r="A215" i="4" s="1"/>
  <c r="D215" i="4"/>
  <c r="J215" i="4" s="1"/>
  <c r="E215" i="4"/>
  <c r="G215" i="4"/>
  <c r="H215" i="4"/>
  <c r="I215" i="4"/>
  <c r="C216" i="4"/>
  <c r="A216" i="4" s="1"/>
  <c r="D216" i="4"/>
  <c r="J216" i="4" s="1"/>
  <c r="E216" i="4"/>
  <c r="G216" i="4"/>
  <c r="H216" i="4"/>
  <c r="I216" i="4"/>
  <c r="C217" i="4"/>
  <c r="A217" i="4" s="1"/>
  <c r="D217" i="4"/>
  <c r="J217" i="4" s="1"/>
  <c r="E217" i="4"/>
  <c r="G217" i="4"/>
  <c r="H217" i="4"/>
  <c r="I217" i="4"/>
  <c r="C218" i="4"/>
  <c r="A218" i="4" s="1"/>
  <c r="D218" i="4"/>
  <c r="J218" i="4" s="1"/>
  <c r="E218" i="4"/>
  <c r="G218" i="4"/>
  <c r="H218" i="4"/>
  <c r="I218" i="4"/>
  <c r="C219" i="4"/>
  <c r="A219" i="4" s="1"/>
  <c r="D219" i="4"/>
  <c r="J219" i="4" s="1"/>
  <c r="E219" i="4"/>
  <c r="G219" i="4"/>
  <c r="H219" i="4"/>
  <c r="I219" i="4"/>
  <c r="C220" i="4"/>
  <c r="A220" i="4" s="1"/>
  <c r="D220" i="4"/>
  <c r="J220" i="4" s="1"/>
  <c r="E220" i="4"/>
  <c r="G220" i="4"/>
  <c r="H220" i="4"/>
  <c r="I220" i="4"/>
  <c r="C221" i="4"/>
  <c r="A221" i="4" s="1"/>
  <c r="D221" i="4"/>
  <c r="J221" i="4" s="1"/>
  <c r="E221" i="4"/>
  <c r="G221" i="4"/>
  <c r="H221" i="4"/>
  <c r="I221" i="4"/>
  <c r="C222" i="4"/>
  <c r="A222" i="4" s="1"/>
  <c r="D222" i="4"/>
  <c r="J222" i="4" s="1"/>
  <c r="E222" i="4"/>
  <c r="G222" i="4"/>
  <c r="H222" i="4"/>
  <c r="I222" i="4"/>
  <c r="C223" i="4"/>
  <c r="A223" i="4" s="1"/>
  <c r="D223" i="4"/>
  <c r="J223" i="4" s="1"/>
  <c r="E223" i="4"/>
  <c r="G223" i="4"/>
  <c r="H223" i="4"/>
  <c r="I223" i="4"/>
  <c r="C224" i="4"/>
  <c r="A224" i="4" s="1"/>
  <c r="D224" i="4"/>
  <c r="J224" i="4" s="1"/>
  <c r="E224" i="4"/>
  <c r="G224" i="4"/>
  <c r="H224" i="4"/>
  <c r="I224" i="4"/>
  <c r="C225" i="4"/>
  <c r="A225" i="4" s="1"/>
  <c r="D225" i="4"/>
  <c r="J225" i="4" s="1"/>
  <c r="E225" i="4"/>
  <c r="G225" i="4"/>
  <c r="H225" i="4"/>
  <c r="I225" i="4"/>
  <c r="C226" i="4"/>
  <c r="A226" i="4" s="1"/>
  <c r="D226" i="4"/>
  <c r="J226" i="4" s="1"/>
  <c r="E226" i="4"/>
  <c r="G226" i="4"/>
  <c r="H226" i="4"/>
  <c r="I226" i="4"/>
  <c r="C227" i="4"/>
  <c r="A227" i="4" s="1"/>
  <c r="D227" i="4"/>
  <c r="J227" i="4" s="1"/>
  <c r="E227" i="4"/>
  <c r="G227" i="4"/>
  <c r="H227" i="4"/>
  <c r="I227" i="4"/>
  <c r="C228" i="4"/>
  <c r="A228" i="4" s="1"/>
  <c r="D228" i="4"/>
  <c r="J228" i="4" s="1"/>
  <c r="E228" i="4"/>
  <c r="G228" i="4"/>
  <c r="H228" i="4"/>
  <c r="I228" i="4"/>
  <c r="C229" i="4"/>
  <c r="A229" i="4" s="1"/>
  <c r="D229" i="4"/>
  <c r="J229" i="4" s="1"/>
  <c r="E229" i="4"/>
  <c r="G229" i="4"/>
  <c r="H229" i="4"/>
  <c r="I229" i="4"/>
  <c r="C230" i="4"/>
  <c r="A230" i="4" s="1"/>
  <c r="D230" i="4"/>
  <c r="J230" i="4" s="1"/>
  <c r="E230" i="4"/>
  <c r="G230" i="4"/>
  <c r="H230" i="4"/>
  <c r="I230" i="4"/>
  <c r="C231" i="4"/>
  <c r="A231" i="4" s="1"/>
  <c r="D231" i="4"/>
  <c r="J231" i="4" s="1"/>
  <c r="E231" i="4"/>
  <c r="G231" i="4"/>
  <c r="H231" i="4"/>
  <c r="I231" i="4"/>
  <c r="C232" i="4"/>
  <c r="A232" i="4" s="1"/>
  <c r="D232" i="4"/>
  <c r="J232" i="4" s="1"/>
  <c r="E232" i="4"/>
  <c r="G232" i="4"/>
  <c r="H232" i="4"/>
  <c r="I232" i="4"/>
  <c r="C233" i="4"/>
  <c r="A233" i="4" s="1"/>
  <c r="D233" i="4"/>
  <c r="J233" i="4" s="1"/>
  <c r="E233" i="4"/>
  <c r="G233" i="4"/>
  <c r="H233" i="4"/>
  <c r="I233" i="4"/>
  <c r="C234" i="4"/>
  <c r="A234" i="4" s="1"/>
  <c r="D234" i="4"/>
  <c r="J234" i="4" s="1"/>
  <c r="E234" i="4"/>
  <c r="G234" i="4"/>
  <c r="H234" i="4"/>
  <c r="I234" i="4"/>
  <c r="C235" i="4"/>
  <c r="A235" i="4" s="1"/>
  <c r="D235" i="4"/>
  <c r="J235" i="4" s="1"/>
  <c r="E235" i="4"/>
  <c r="G235" i="4"/>
  <c r="H235" i="4"/>
  <c r="I235" i="4"/>
  <c r="C236" i="4"/>
  <c r="A236" i="4" s="1"/>
  <c r="D236" i="4"/>
  <c r="J236" i="4" s="1"/>
  <c r="E236" i="4"/>
  <c r="G236" i="4"/>
  <c r="H236" i="4"/>
  <c r="I236" i="4"/>
  <c r="C237" i="4"/>
  <c r="A237" i="4" s="1"/>
  <c r="D237" i="4"/>
  <c r="J237" i="4" s="1"/>
  <c r="E237" i="4"/>
  <c r="G237" i="4"/>
  <c r="H237" i="4"/>
  <c r="I237" i="4"/>
  <c r="C238" i="4"/>
  <c r="A238" i="4" s="1"/>
  <c r="D238" i="4"/>
  <c r="J238" i="4" s="1"/>
  <c r="E238" i="4"/>
  <c r="G238" i="4"/>
  <c r="H238" i="4"/>
  <c r="I238" i="4"/>
  <c r="C239" i="4"/>
  <c r="A239" i="4" s="1"/>
  <c r="D239" i="4"/>
  <c r="J239" i="4" s="1"/>
  <c r="E239" i="4"/>
  <c r="G239" i="4"/>
  <c r="H239" i="4"/>
  <c r="I239" i="4"/>
  <c r="C240" i="4"/>
  <c r="A240" i="4" s="1"/>
  <c r="D240" i="4"/>
  <c r="J240" i="4" s="1"/>
  <c r="E240" i="4"/>
  <c r="G240" i="4"/>
  <c r="H240" i="4"/>
  <c r="I240" i="4"/>
  <c r="C241" i="4"/>
  <c r="A241" i="4" s="1"/>
  <c r="D241" i="4"/>
  <c r="J241" i="4" s="1"/>
  <c r="E241" i="4"/>
  <c r="G241" i="4"/>
  <c r="H241" i="4"/>
  <c r="I241" i="4"/>
  <c r="C242" i="4"/>
  <c r="A242" i="4" s="1"/>
  <c r="D242" i="4"/>
  <c r="J242" i="4" s="1"/>
  <c r="E242" i="4"/>
  <c r="G242" i="4"/>
  <c r="H242" i="4"/>
  <c r="I242" i="4"/>
  <c r="C243" i="4"/>
  <c r="A243" i="4" s="1"/>
  <c r="D243" i="4"/>
  <c r="J243" i="4" s="1"/>
  <c r="E243" i="4"/>
  <c r="G243" i="4"/>
  <c r="H243" i="4"/>
  <c r="I243" i="4"/>
  <c r="C244" i="4"/>
  <c r="A244" i="4" s="1"/>
  <c r="D244" i="4"/>
  <c r="J244" i="4" s="1"/>
  <c r="E244" i="4"/>
  <c r="G244" i="4"/>
  <c r="H244" i="4"/>
  <c r="I244" i="4"/>
  <c r="C245" i="4"/>
  <c r="A245" i="4" s="1"/>
  <c r="D245" i="4"/>
  <c r="J245" i="4" s="1"/>
  <c r="E245" i="4"/>
  <c r="G245" i="4"/>
  <c r="H245" i="4"/>
  <c r="I245" i="4"/>
  <c r="C246" i="4"/>
  <c r="A246" i="4" s="1"/>
  <c r="D246" i="4"/>
  <c r="J246" i="4" s="1"/>
  <c r="E246" i="4"/>
  <c r="G246" i="4"/>
  <c r="H246" i="4"/>
  <c r="I246" i="4"/>
  <c r="C247" i="4"/>
  <c r="A247" i="4" s="1"/>
  <c r="D247" i="4"/>
  <c r="J247" i="4" s="1"/>
  <c r="E247" i="4"/>
  <c r="G247" i="4"/>
  <c r="H247" i="4"/>
  <c r="I247" i="4"/>
  <c r="C248" i="4"/>
  <c r="A248" i="4" s="1"/>
  <c r="D248" i="4"/>
  <c r="J248" i="4" s="1"/>
  <c r="E248" i="4"/>
  <c r="G248" i="4"/>
  <c r="H248" i="4"/>
  <c r="I248" i="4"/>
  <c r="C249" i="4"/>
  <c r="A249" i="4" s="1"/>
  <c r="D249" i="4"/>
  <c r="J249" i="4" s="1"/>
  <c r="E249" i="4"/>
  <c r="G249" i="4"/>
  <c r="H249" i="4"/>
  <c r="I249" i="4"/>
  <c r="C250" i="4"/>
  <c r="A250" i="4" s="1"/>
  <c r="D250" i="4"/>
  <c r="J250" i="4" s="1"/>
  <c r="E250" i="4"/>
  <c r="G250" i="4"/>
  <c r="H250" i="4"/>
  <c r="I250" i="4"/>
  <c r="C251" i="4"/>
  <c r="A251" i="4" s="1"/>
  <c r="D251" i="4"/>
  <c r="J251" i="4" s="1"/>
  <c r="E251" i="4"/>
  <c r="G251" i="4"/>
  <c r="H251" i="4"/>
  <c r="I251" i="4"/>
  <c r="C252" i="4"/>
  <c r="A252" i="4" s="1"/>
  <c r="D252" i="4"/>
  <c r="J252" i="4" s="1"/>
  <c r="E252" i="4"/>
  <c r="G252" i="4"/>
  <c r="H252" i="4"/>
  <c r="I252" i="4"/>
  <c r="C253" i="4"/>
  <c r="A253" i="4" s="1"/>
  <c r="D253" i="4"/>
  <c r="J253" i="4" s="1"/>
  <c r="E253" i="4"/>
  <c r="G253" i="4"/>
  <c r="H253" i="4"/>
  <c r="I253" i="4"/>
  <c r="C254" i="4"/>
  <c r="A254" i="4" s="1"/>
  <c r="D254" i="4"/>
  <c r="J254" i="4" s="1"/>
  <c r="E254" i="4"/>
  <c r="G254" i="4"/>
  <c r="H254" i="4"/>
  <c r="I254" i="4"/>
  <c r="C255" i="4"/>
  <c r="A255" i="4" s="1"/>
  <c r="D255" i="4"/>
  <c r="J255" i="4" s="1"/>
  <c r="E255" i="4"/>
  <c r="G255" i="4"/>
  <c r="H255" i="4"/>
  <c r="I255" i="4"/>
  <c r="C256" i="4"/>
  <c r="A256" i="4" s="1"/>
  <c r="D256" i="4"/>
  <c r="J256" i="4" s="1"/>
  <c r="E256" i="4"/>
  <c r="G256" i="4"/>
  <c r="H256" i="4"/>
  <c r="I256" i="4"/>
  <c r="C257" i="4"/>
  <c r="A257" i="4" s="1"/>
  <c r="D257" i="4"/>
  <c r="J257" i="4" s="1"/>
  <c r="E257" i="4"/>
  <c r="G257" i="4"/>
  <c r="H257" i="4"/>
  <c r="I257" i="4"/>
  <c r="C258" i="4"/>
  <c r="A258" i="4" s="1"/>
  <c r="D258" i="4"/>
  <c r="J258" i="4" s="1"/>
  <c r="E258" i="4"/>
  <c r="G258" i="4"/>
  <c r="H258" i="4"/>
  <c r="I258" i="4"/>
  <c r="C259" i="4"/>
  <c r="A259" i="4" s="1"/>
  <c r="D259" i="4"/>
  <c r="J259" i="4" s="1"/>
  <c r="E259" i="4"/>
  <c r="G259" i="4"/>
  <c r="H259" i="4"/>
  <c r="I259" i="4"/>
  <c r="C260" i="4"/>
  <c r="A260" i="4" s="1"/>
  <c r="D260" i="4"/>
  <c r="J260" i="4" s="1"/>
  <c r="E260" i="4"/>
  <c r="G260" i="4"/>
  <c r="H260" i="4"/>
  <c r="I260" i="4"/>
  <c r="C261" i="4"/>
  <c r="A261" i="4" s="1"/>
  <c r="D261" i="4"/>
  <c r="J261" i="4" s="1"/>
  <c r="E261" i="4"/>
  <c r="G261" i="4"/>
  <c r="H261" i="4"/>
  <c r="I261" i="4"/>
  <c r="C262" i="4"/>
  <c r="A262" i="4" s="1"/>
  <c r="D262" i="4"/>
  <c r="J262" i="4" s="1"/>
  <c r="E262" i="4"/>
  <c r="G262" i="4"/>
  <c r="H262" i="4"/>
  <c r="I262" i="4"/>
  <c r="C263" i="4"/>
  <c r="A263" i="4" s="1"/>
  <c r="D263" i="4"/>
  <c r="J263" i="4" s="1"/>
  <c r="E263" i="4"/>
  <c r="G263" i="4"/>
  <c r="H263" i="4"/>
  <c r="I263" i="4"/>
  <c r="C264" i="4"/>
  <c r="A264" i="4" s="1"/>
  <c r="D264" i="4"/>
  <c r="J264" i="4" s="1"/>
  <c r="E264" i="4"/>
  <c r="G264" i="4"/>
  <c r="H264" i="4"/>
  <c r="I264" i="4"/>
  <c r="C265" i="4"/>
  <c r="A265" i="4" s="1"/>
  <c r="D265" i="4"/>
  <c r="J265" i="4" s="1"/>
  <c r="E265" i="4"/>
  <c r="G265" i="4"/>
  <c r="H265" i="4"/>
  <c r="I265" i="4"/>
  <c r="C266" i="4"/>
  <c r="A266" i="4" s="1"/>
  <c r="D266" i="4"/>
  <c r="J266" i="4" s="1"/>
  <c r="E266" i="4"/>
  <c r="G266" i="4"/>
  <c r="H266" i="4"/>
  <c r="I266" i="4"/>
  <c r="C267" i="4"/>
  <c r="A267" i="4" s="1"/>
  <c r="D267" i="4"/>
  <c r="J267" i="4" s="1"/>
  <c r="E267" i="4"/>
  <c r="G267" i="4"/>
  <c r="H267" i="4"/>
  <c r="I267" i="4"/>
  <c r="C268" i="4"/>
  <c r="A268" i="4" s="1"/>
  <c r="D268" i="4"/>
  <c r="J268" i="4" s="1"/>
  <c r="E268" i="4"/>
  <c r="G268" i="4"/>
  <c r="H268" i="4"/>
  <c r="I268" i="4"/>
  <c r="C269" i="4"/>
  <c r="A269" i="4" s="1"/>
  <c r="D269" i="4"/>
  <c r="J269" i="4" s="1"/>
  <c r="E269" i="4"/>
  <c r="G269" i="4"/>
  <c r="H269" i="4"/>
  <c r="I269" i="4"/>
  <c r="C270" i="4"/>
  <c r="A270" i="4" s="1"/>
  <c r="D270" i="4"/>
  <c r="J270" i="4" s="1"/>
  <c r="E270" i="4"/>
  <c r="G270" i="4"/>
  <c r="H270" i="4"/>
  <c r="I270" i="4"/>
  <c r="C271" i="4"/>
  <c r="A271" i="4" s="1"/>
  <c r="D271" i="4"/>
  <c r="J271" i="4" s="1"/>
  <c r="E271" i="4"/>
  <c r="G271" i="4"/>
  <c r="H271" i="4"/>
  <c r="I271" i="4"/>
  <c r="C272" i="4"/>
  <c r="A272" i="4" s="1"/>
  <c r="D272" i="4"/>
  <c r="J272" i="4" s="1"/>
  <c r="E272" i="4"/>
  <c r="G272" i="4"/>
  <c r="H272" i="4"/>
  <c r="I272" i="4"/>
  <c r="C273" i="4"/>
  <c r="A273" i="4" s="1"/>
  <c r="D273" i="4"/>
  <c r="J273" i="4" s="1"/>
  <c r="E273" i="4"/>
  <c r="G273" i="4"/>
  <c r="H273" i="4"/>
  <c r="I273" i="4"/>
  <c r="C274" i="4"/>
  <c r="A274" i="4" s="1"/>
  <c r="D274" i="4"/>
  <c r="J274" i="4" s="1"/>
  <c r="E274" i="4"/>
  <c r="G274" i="4"/>
  <c r="H274" i="4"/>
  <c r="I274" i="4"/>
  <c r="C275" i="4"/>
  <c r="A275" i="4" s="1"/>
  <c r="D275" i="4"/>
  <c r="J275" i="4" s="1"/>
  <c r="E275" i="4"/>
  <c r="G275" i="4"/>
  <c r="H275" i="4"/>
  <c r="I275" i="4"/>
  <c r="C276" i="4"/>
  <c r="A276" i="4" s="1"/>
  <c r="D276" i="4"/>
  <c r="J276" i="4" s="1"/>
  <c r="E276" i="4"/>
  <c r="G276" i="4"/>
  <c r="H276" i="4"/>
  <c r="I276" i="4"/>
  <c r="C277" i="4"/>
  <c r="A277" i="4" s="1"/>
  <c r="D277" i="4"/>
  <c r="J277" i="4" s="1"/>
  <c r="E277" i="4"/>
  <c r="G277" i="4"/>
  <c r="H277" i="4"/>
  <c r="I277" i="4"/>
  <c r="C278" i="4"/>
  <c r="A278" i="4" s="1"/>
  <c r="D278" i="4"/>
  <c r="J278" i="4" s="1"/>
  <c r="E278" i="4"/>
  <c r="G278" i="4"/>
  <c r="H278" i="4"/>
  <c r="I278" i="4"/>
  <c r="C279" i="4"/>
  <c r="A279" i="4" s="1"/>
  <c r="D279" i="4"/>
  <c r="J279" i="4" s="1"/>
  <c r="E279" i="4"/>
  <c r="G279" i="4"/>
  <c r="H279" i="4"/>
  <c r="I279" i="4"/>
  <c r="C280" i="4"/>
  <c r="A280" i="4" s="1"/>
  <c r="D280" i="4"/>
  <c r="J280" i="4" s="1"/>
  <c r="E280" i="4"/>
  <c r="G280" i="4"/>
  <c r="H280" i="4"/>
  <c r="I280" i="4"/>
  <c r="C281" i="4"/>
  <c r="A281" i="4" s="1"/>
  <c r="D281" i="4"/>
  <c r="J281" i="4" s="1"/>
  <c r="E281" i="4"/>
  <c r="G281" i="4"/>
  <c r="H281" i="4"/>
  <c r="I281" i="4"/>
  <c r="C282" i="4"/>
  <c r="A282" i="4" s="1"/>
  <c r="D282" i="4"/>
  <c r="J282" i="4" s="1"/>
  <c r="E282" i="4"/>
  <c r="G282" i="4"/>
  <c r="H282" i="4"/>
  <c r="I282" i="4"/>
  <c r="C283" i="4"/>
  <c r="A283" i="4" s="1"/>
  <c r="D283" i="4"/>
  <c r="J283" i="4" s="1"/>
  <c r="E283" i="4"/>
  <c r="G283" i="4"/>
  <c r="H283" i="4"/>
  <c r="I283" i="4"/>
  <c r="C284" i="4"/>
  <c r="A284" i="4" s="1"/>
  <c r="D284" i="4"/>
  <c r="J284" i="4" s="1"/>
  <c r="E284" i="4"/>
  <c r="G284" i="4"/>
  <c r="H284" i="4"/>
  <c r="I284" i="4"/>
  <c r="C285" i="4"/>
  <c r="A285" i="4" s="1"/>
  <c r="D285" i="4"/>
  <c r="J285" i="4" s="1"/>
  <c r="E285" i="4"/>
  <c r="G285" i="4"/>
  <c r="H285" i="4"/>
  <c r="I285" i="4"/>
  <c r="C286" i="4"/>
  <c r="A286" i="4" s="1"/>
  <c r="D286" i="4"/>
  <c r="J286" i="4" s="1"/>
  <c r="E286" i="4"/>
  <c r="G286" i="4"/>
  <c r="H286" i="4"/>
  <c r="I286" i="4"/>
  <c r="C287" i="4"/>
  <c r="A287" i="4" s="1"/>
  <c r="D287" i="4"/>
  <c r="J287" i="4" s="1"/>
  <c r="E287" i="4"/>
  <c r="G287" i="4"/>
  <c r="H287" i="4"/>
  <c r="I287" i="4"/>
  <c r="C288" i="4"/>
  <c r="A288" i="4" s="1"/>
  <c r="D288" i="4"/>
  <c r="J288" i="4" s="1"/>
  <c r="E288" i="4"/>
  <c r="G288" i="4"/>
  <c r="H288" i="4"/>
  <c r="I288" i="4"/>
  <c r="C289" i="4"/>
  <c r="A289" i="4" s="1"/>
  <c r="D289" i="4"/>
  <c r="J289" i="4" s="1"/>
  <c r="E289" i="4"/>
  <c r="G289" i="4"/>
  <c r="H289" i="4"/>
  <c r="I289" i="4"/>
  <c r="C290" i="4"/>
  <c r="A290" i="4" s="1"/>
  <c r="D290" i="4"/>
  <c r="J290" i="4" s="1"/>
  <c r="E290" i="4"/>
  <c r="G290" i="4"/>
  <c r="H290" i="4"/>
  <c r="I290" i="4"/>
  <c r="C291" i="4"/>
  <c r="A291" i="4" s="1"/>
  <c r="D291" i="4"/>
  <c r="J291" i="4" s="1"/>
  <c r="E291" i="4"/>
  <c r="G291" i="4"/>
  <c r="H291" i="4"/>
  <c r="I291" i="4"/>
  <c r="C292" i="4"/>
  <c r="A292" i="4" s="1"/>
  <c r="D292" i="4"/>
  <c r="J292" i="4" s="1"/>
  <c r="E292" i="4"/>
  <c r="G292" i="4"/>
  <c r="H292" i="4"/>
  <c r="I292" i="4"/>
  <c r="C293" i="4"/>
  <c r="A293" i="4" s="1"/>
  <c r="D293" i="4"/>
  <c r="J293" i="4" s="1"/>
  <c r="E293" i="4"/>
  <c r="G293" i="4"/>
  <c r="H293" i="4"/>
  <c r="I293" i="4"/>
  <c r="C294" i="4"/>
  <c r="A294" i="4" s="1"/>
  <c r="D294" i="4"/>
  <c r="J294" i="4" s="1"/>
  <c r="E294" i="4"/>
  <c r="G294" i="4"/>
  <c r="H294" i="4"/>
  <c r="I294" i="4"/>
  <c r="C295" i="4"/>
  <c r="A295" i="4" s="1"/>
  <c r="D295" i="4"/>
  <c r="J295" i="4" s="1"/>
  <c r="E295" i="4"/>
  <c r="G295" i="4"/>
  <c r="H295" i="4"/>
  <c r="I295" i="4"/>
  <c r="C296" i="4"/>
  <c r="A296" i="4" s="1"/>
  <c r="D296" i="4"/>
  <c r="J296" i="4" s="1"/>
  <c r="E296" i="4"/>
  <c r="G296" i="4"/>
  <c r="H296" i="4"/>
  <c r="I296" i="4"/>
  <c r="C297" i="4"/>
  <c r="A297" i="4" s="1"/>
  <c r="D297" i="4"/>
  <c r="J297" i="4" s="1"/>
  <c r="E297" i="4"/>
  <c r="G297" i="4"/>
  <c r="H297" i="4"/>
  <c r="I297" i="4"/>
  <c r="C298" i="4"/>
  <c r="A298" i="4" s="1"/>
  <c r="D298" i="4"/>
  <c r="J298" i="4" s="1"/>
  <c r="E298" i="4"/>
  <c r="G298" i="4"/>
  <c r="H298" i="4"/>
  <c r="I298" i="4"/>
  <c r="C299" i="4"/>
  <c r="A299" i="4" s="1"/>
  <c r="D299" i="4"/>
  <c r="J299" i="4" s="1"/>
  <c r="E299" i="4"/>
  <c r="G299" i="4"/>
  <c r="H299" i="4"/>
  <c r="I299" i="4"/>
  <c r="C300" i="4"/>
  <c r="A300" i="4" s="1"/>
  <c r="D300" i="4"/>
  <c r="J300" i="4" s="1"/>
  <c r="E300" i="4"/>
  <c r="G300" i="4"/>
  <c r="H300" i="4"/>
  <c r="I300" i="4"/>
  <c r="C301" i="4"/>
  <c r="A301" i="4" s="1"/>
  <c r="D301" i="4"/>
  <c r="J301" i="4" s="1"/>
  <c r="E301" i="4"/>
  <c r="G301" i="4"/>
  <c r="H301" i="4"/>
  <c r="I301" i="4"/>
  <c r="C302" i="4"/>
  <c r="A302" i="4" s="1"/>
  <c r="D302" i="4"/>
  <c r="J302" i="4" s="1"/>
  <c r="E302" i="4"/>
  <c r="G302" i="4"/>
  <c r="H302" i="4"/>
  <c r="I302" i="4"/>
  <c r="C303" i="4"/>
  <c r="A303" i="4" s="1"/>
  <c r="D303" i="4"/>
  <c r="J303" i="4" s="1"/>
  <c r="E303" i="4"/>
  <c r="G303" i="4"/>
  <c r="H303" i="4"/>
  <c r="I303" i="4"/>
  <c r="C304" i="4"/>
  <c r="A304" i="4" s="1"/>
  <c r="D304" i="4"/>
  <c r="J304" i="4" s="1"/>
  <c r="E304" i="4"/>
  <c r="G304" i="4"/>
  <c r="H304" i="4"/>
  <c r="I304" i="4"/>
  <c r="I205" i="4"/>
  <c r="H205" i="4"/>
  <c r="G205" i="4"/>
  <c r="E205" i="4"/>
  <c r="D205" i="4"/>
  <c r="J205" i="4" s="1"/>
  <c r="D204" i="4"/>
  <c r="J204" i="4" s="1"/>
  <c r="C205" i="4"/>
  <c r="A205" i="4" s="1"/>
  <c r="C204" i="4"/>
  <c r="A204" i="4" s="1"/>
  <c r="E204" i="4"/>
  <c r="G204" i="4"/>
  <c r="H204" i="4"/>
  <c r="I204" i="4"/>
  <c r="C106" i="4"/>
  <c r="A106" i="4" s="1"/>
  <c r="D106" i="4"/>
  <c r="J106" i="4" s="1"/>
  <c r="E106" i="4"/>
  <c r="G106" i="4"/>
  <c r="H106" i="4"/>
  <c r="I106" i="4"/>
  <c r="C107" i="4"/>
  <c r="A107" i="4" s="1"/>
  <c r="D107" i="4"/>
  <c r="J107" i="4" s="1"/>
  <c r="E107" i="4"/>
  <c r="G107" i="4"/>
  <c r="H107" i="4"/>
  <c r="I107" i="4"/>
  <c r="C108" i="4"/>
  <c r="A108" i="4" s="1"/>
  <c r="D108" i="4"/>
  <c r="J108" i="4" s="1"/>
  <c r="E108" i="4"/>
  <c r="G108" i="4"/>
  <c r="H108" i="4"/>
  <c r="I108" i="4"/>
  <c r="C109" i="4"/>
  <c r="A109" i="4" s="1"/>
  <c r="D109" i="4"/>
  <c r="J109" i="4" s="1"/>
  <c r="E109" i="4"/>
  <c r="G109" i="4"/>
  <c r="H109" i="4"/>
  <c r="I109" i="4"/>
  <c r="C110" i="4"/>
  <c r="A110" i="4" s="1"/>
  <c r="D110" i="4"/>
  <c r="J110" i="4" s="1"/>
  <c r="E110" i="4"/>
  <c r="G110" i="4"/>
  <c r="H110" i="4"/>
  <c r="I110" i="4"/>
  <c r="C111" i="4"/>
  <c r="A111" i="4" s="1"/>
  <c r="D111" i="4"/>
  <c r="J111" i="4" s="1"/>
  <c r="E111" i="4"/>
  <c r="G111" i="4"/>
  <c r="H111" i="4"/>
  <c r="I111" i="4"/>
  <c r="C112" i="4"/>
  <c r="A112" i="4" s="1"/>
  <c r="D112" i="4"/>
  <c r="J112" i="4" s="1"/>
  <c r="E112" i="4"/>
  <c r="G112" i="4"/>
  <c r="H112" i="4"/>
  <c r="I112" i="4"/>
  <c r="C113" i="4"/>
  <c r="A113" i="4" s="1"/>
  <c r="D113" i="4"/>
  <c r="J113" i="4" s="1"/>
  <c r="E113" i="4"/>
  <c r="G113" i="4"/>
  <c r="H113" i="4"/>
  <c r="I113" i="4"/>
  <c r="C114" i="4"/>
  <c r="A114" i="4" s="1"/>
  <c r="D114" i="4"/>
  <c r="J114" i="4" s="1"/>
  <c r="E114" i="4"/>
  <c r="G114" i="4"/>
  <c r="H114" i="4"/>
  <c r="I114" i="4"/>
  <c r="C115" i="4"/>
  <c r="A115" i="4" s="1"/>
  <c r="D115" i="4"/>
  <c r="J115" i="4" s="1"/>
  <c r="E115" i="4"/>
  <c r="G115" i="4"/>
  <c r="H115" i="4"/>
  <c r="I115" i="4"/>
  <c r="C116" i="4"/>
  <c r="A116" i="4" s="1"/>
  <c r="D116" i="4"/>
  <c r="J116" i="4" s="1"/>
  <c r="E116" i="4"/>
  <c r="G116" i="4"/>
  <c r="H116" i="4"/>
  <c r="I116" i="4"/>
  <c r="C117" i="4"/>
  <c r="A117" i="4" s="1"/>
  <c r="D117" i="4"/>
  <c r="J117" i="4" s="1"/>
  <c r="E117" i="4"/>
  <c r="G117" i="4"/>
  <c r="H117" i="4"/>
  <c r="I117" i="4"/>
  <c r="C118" i="4"/>
  <c r="A118" i="4" s="1"/>
  <c r="D118" i="4"/>
  <c r="J118" i="4" s="1"/>
  <c r="E118" i="4"/>
  <c r="G118" i="4"/>
  <c r="H118" i="4"/>
  <c r="I118" i="4"/>
  <c r="C119" i="4"/>
  <c r="A119" i="4" s="1"/>
  <c r="D119" i="4"/>
  <c r="J119" i="4" s="1"/>
  <c r="E119" i="4"/>
  <c r="G119" i="4"/>
  <c r="H119" i="4"/>
  <c r="I119" i="4"/>
  <c r="C120" i="4"/>
  <c r="A120" i="4" s="1"/>
  <c r="D120" i="4"/>
  <c r="J120" i="4" s="1"/>
  <c r="E120" i="4"/>
  <c r="G120" i="4"/>
  <c r="H120" i="4"/>
  <c r="I120" i="4"/>
  <c r="C121" i="4"/>
  <c r="A121" i="4" s="1"/>
  <c r="D121" i="4"/>
  <c r="J121" i="4" s="1"/>
  <c r="E121" i="4"/>
  <c r="G121" i="4"/>
  <c r="H121" i="4"/>
  <c r="I121" i="4"/>
  <c r="C122" i="4"/>
  <c r="A122" i="4" s="1"/>
  <c r="D122" i="4"/>
  <c r="J122" i="4" s="1"/>
  <c r="E122" i="4"/>
  <c r="G122" i="4"/>
  <c r="H122" i="4"/>
  <c r="I122" i="4"/>
  <c r="C123" i="4"/>
  <c r="A123" i="4" s="1"/>
  <c r="D123" i="4"/>
  <c r="J123" i="4" s="1"/>
  <c r="E123" i="4"/>
  <c r="G123" i="4"/>
  <c r="H123" i="4"/>
  <c r="I123" i="4"/>
  <c r="C124" i="4"/>
  <c r="A124" i="4" s="1"/>
  <c r="D124" i="4"/>
  <c r="J124" i="4" s="1"/>
  <c r="E124" i="4"/>
  <c r="G124" i="4"/>
  <c r="H124" i="4"/>
  <c r="I124" i="4"/>
  <c r="C125" i="4"/>
  <c r="A125" i="4" s="1"/>
  <c r="D125" i="4"/>
  <c r="J125" i="4" s="1"/>
  <c r="E125" i="4"/>
  <c r="G125" i="4"/>
  <c r="H125" i="4"/>
  <c r="I125" i="4"/>
  <c r="C126" i="4"/>
  <c r="A126" i="4" s="1"/>
  <c r="D126" i="4"/>
  <c r="J126" i="4" s="1"/>
  <c r="E126" i="4"/>
  <c r="G126" i="4"/>
  <c r="H126" i="4"/>
  <c r="I126" i="4"/>
  <c r="C127" i="4"/>
  <c r="A127" i="4" s="1"/>
  <c r="D127" i="4"/>
  <c r="J127" i="4" s="1"/>
  <c r="E127" i="4"/>
  <c r="G127" i="4"/>
  <c r="H127" i="4"/>
  <c r="I127" i="4"/>
  <c r="C128" i="4"/>
  <c r="A128" i="4" s="1"/>
  <c r="D128" i="4"/>
  <c r="J128" i="4" s="1"/>
  <c r="E128" i="4"/>
  <c r="G128" i="4"/>
  <c r="H128" i="4"/>
  <c r="I128" i="4"/>
  <c r="C129" i="4"/>
  <c r="A129" i="4" s="1"/>
  <c r="D129" i="4"/>
  <c r="J129" i="4" s="1"/>
  <c r="E129" i="4"/>
  <c r="G129" i="4"/>
  <c r="H129" i="4"/>
  <c r="I129" i="4"/>
  <c r="C130" i="4"/>
  <c r="A130" i="4" s="1"/>
  <c r="D130" i="4"/>
  <c r="J130" i="4" s="1"/>
  <c r="E130" i="4"/>
  <c r="G130" i="4"/>
  <c r="H130" i="4"/>
  <c r="I130" i="4"/>
  <c r="C131" i="4"/>
  <c r="A131" i="4" s="1"/>
  <c r="D131" i="4"/>
  <c r="J131" i="4" s="1"/>
  <c r="E131" i="4"/>
  <c r="G131" i="4"/>
  <c r="H131" i="4"/>
  <c r="I131" i="4"/>
  <c r="C132" i="4"/>
  <c r="A132" i="4" s="1"/>
  <c r="D132" i="4"/>
  <c r="J132" i="4" s="1"/>
  <c r="E132" i="4"/>
  <c r="G132" i="4"/>
  <c r="H132" i="4"/>
  <c r="I132" i="4"/>
  <c r="C133" i="4"/>
  <c r="A133" i="4" s="1"/>
  <c r="D133" i="4"/>
  <c r="J133" i="4" s="1"/>
  <c r="E133" i="4"/>
  <c r="G133" i="4"/>
  <c r="H133" i="4"/>
  <c r="I133" i="4"/>
  <c r="C134" i="4"/>
  <c r="A134" i="4" s="1"/>
  <c r="D134" i="4"/>
  <c r="J134" i="4" s="1"/>
  <c r="E134" i="4"/>
  <c r="G134" i="4"/>
  <c r="H134" i="4"/>
  <c r="I134" i="4"/>
  <c r="C135" i="4"/>
  <c r="A135" i="4" s="1"/>
  <c r="D135" i="4"/>
  <c r="J135" i="4" s="1"/>
  <c r="E135" i="4"/>
  <c r="G135" i="4"/>
  <c r="H135" i="4"/>
  <c r="I135" i="4"/>
  <c r="C136" i="4"/>
  <c r="A136" i="4" s="1"/>
  <c r="D136" i="4"/>
  <c r="J136" i="4" s="1"/>
  <c r="E136" i="4"/>
  <c r="G136" i="4"/>
  <c r="H136" i="4"/>
  <c r="I136" i="4"/>
  <c r="C137" i="4"/>
  <c r="A137" i="4" s="1"/>
  <c r="D137" i="4"/>
  <c r="J137" i="4" s="1"/>
  <c r="E137" i="4"/>
  <c r="G137" i="4"/>
  <c r="H137" i="4"/>
  <c r="I137" i="4"/>
  <c r="C138" i="4"/>
  <c r="A138" i="4" s="1"/>
  <c r="D138" i="4"/>
  <c r="J138" i="4" s="1"/>
  <c r="E138" i="4"/>
  <c r="G138" i="4"/>
  <c r="H138" i="4"/>
  <c r="I138" i="4"/>
  <c r="C139" i="4"/>
  <c r="A139" i="4" s="1"/>
  <c r="D139" i="4"/>
  <c r="J139" i="4" s="1"/>
  <c r="E139" i="4"/>
  <c r="G139" i="4"/>
  <c r="H139" i="4"/>
  <c r="I139" i="4"/>
  <c r="C140" i="4"/>
  <c r="A140" i="4" s="1"/>
  <c r="D140" i="4"/>
  <c r="J140" i="4" s="1"/>
  <c r="E140" i="4"/>
  <c r="G140" i="4"/>
  <c r="H140" i="4"/>
  <c r="I140" i="4"/>
  <c r="C141" i="4"/>
  <c r="A141" i="4" s="1"/>
  <c r="D141" i="4"/>
  <c r="J141" i="4" s="1"/>
  <c r="E141" i="4"/>
  <c r="G141" i="4"/>
  <c r="H141" i="4"/>
  <c r="I141" i="4"/>
  <c r="C142" i="4"/>
  <c r="A142" i="4" s="1"/>
  <c r="D142" i="4"/>
  <c r="J142" i="4" s="1"/>
  <c r="E142" i="4"/>
  <c r="G142" i="4"/>
  <c r="H142" i="4"/>
  <c r="I142" i="4"/>
  <c r="C143" i="4"/>
  <c r="A143" i="4" s="1"/>
  <c r="D143" i="4"/>
  <c r="J143" i="4" s="1"/>
  <c r="E143" i="4"/>
  <c r="G143" i="4"/>
  <c r="H143" i="4"/>
  <c r="I143" i="4"/>
  <c r="C144" i="4"/>
  <c r="A144" i="4" s="1"/>
  <c r="D144" i="4"/>
  <c r="J144" i="4" s="1"/>
  <c r="E144" i="4"/>
  <c r="G144" i="4"/>
  <c r="H144" i="4"/>
  <c r="I144" i="4"/>
  <c r="C145" i="4"/>
  <c r="A145" i="4" s="1"/>
  <c r="D145" i="4"/>
  <c r="J145" i="4" s="1"/>
  <c r="E145" i="4"/>
  <c r="G145" i="4"/>
  <c r="H145" i="4"/>
  <c r="I145" i="4"/>
  <c r="C146" i="4"/>
  <c r="A146" i="4" s="1"/>
  <c r="D146" i="4"/>
  <c r="J146" i="4" s="1"/>
  <c r="E146" i="4"/>
  <c r="G146" i="4"/>
  <c r="H146" i="4"/>
  <c r="I146" i="4"/>
  <c r="C147" i="4"/>
  <c r="A147" i="4" s="1"/>
  <c r="D147" i="4"/>
  <c r="J147" i="4" s="1"/>
  <c r="E147" i="4"/>
  <c r="G147" i="4"/>
  <c r="H147" i="4"/>
  <c r="I147" i="4"/>
  <c r="C148" i="4"/>
  <c r="A148" i="4" s="1"/>
  <c r="D148" i="4"/>
  <c r="J148" i="4" s="1"/>
  <c r="E148" i="4"/>
  <c r="G148" i="4"/>
  <c r="H148" i="4"/>
  <c r="I148" i="4"/>
  <c r="C149" i="4"/>
  <c r="A149" i="4" s="1"/>
  <c r="D149" i="4"/>
  <c r="J149" i="4" s="1"/>
  <c r="E149" i="4"/>
  <c r="G149" i="4"/>
  <c r="H149" i="4"/>
  <c r="I149" i="4"/>
  <c r="C150" i="4"/>
  <c r="A150" i="4" s="1"/>
  <c r="D150" i="4"/>
  <c r="J150" i="4" s="1"/>
  <c r="E150" i="4"/>
  <c r="G150" i="4"/>
  <c r="H150" i="4"/>
  <c r="I150" i="4"/>
  <c r="C151" i="4"/>
  <c r="A151" i="4" s="1"/>
  <c r="D151" i="4"/>
  <c r="J151" i="4" s="1"/>
  <c r="E151" i="4"/>
  <c r="G151" i="4"/>
  <c r="H151" i="4"/>
  <c r="I151" i="4"/>
  <c r="C152" i="4"/>
  <c r="A152" i="4" s="1"/>
  <c r="D152" i="4"/>
  <c r="J152" i="4" s="1"/>
  <c r="E152" i="4"/>
  <c r="G152" i="4"/>
  <c r="H152" i="4"/>
  <c r="I152" i="4"/>
  <c r="C153" i="4"/>
  <c r="A153" i="4" s="1"/>
  <c r="D153" i="4"/>
  <c r="J153" i="4" s="1"/>
  <c r="E153" i="4"/>
  <c r="G153" i="4"/>
  <c r="H153" i="4"/>
  <c r="I153" i="4"/>
  <c r="C154" i="4"/>
  <c r="A154" i="4" s="1"/>
  <c r="D154" i="4"/>
  <c r="J154" i="4" s="1"/>
  <c r="E154" i="4"/>
  <c r="G154" i="4"/>
  <c r="H154" i="4"/>
  <c r="I154" i="4"/>
  <c r="C155" i="4"/>
  <c r="A155" i="4" s="1"/>
  <c r="D155" i="4"/>
  <c r="J155" i="4" s="1"/>
  <c r="E155" i="4"/>
  <c r="G155" i="4"/>
  <c r="H155" i="4"/>
  <c r="I155" i="4"/>
  <c r="C156" i="4"/>
  <c r="A156" i="4" s="1"/>
  <c r="D156" i="4"/>
  <c r="J156" i="4" s="1"/>
  <c r="E156" i="4"/>
  <c r="G156" i="4"/>
  <c r="H156" i="4"/>
  <c r="I156" i="4"/>
  <c r="C157" i="4"/>
  <c r="A157" i="4" s="1"/>
  <c r="D157" i="4"/>
  <c r="J157" i="4" s="1"/>
  <c r="E157" i="4"/>
  <c r="G157" i="4"/>
  <c r="H157" i="4"/>
  <c r="I157" i="4"/>
  <c r="C158" i="4"/>
  <c r="A158" i="4" s="1"/>
  <c r="D158" i="4"/>
  <c r="J158" i="4" s="1"/>
  <c r="E158" i="4"/>
  <c r="G158" i="4"/>
  <c r="H158" i="4"/>
  <c r="I158" i="4"/>
  <c r="C159" i="4"/>
  <c r="A159" i="4" s="1"/>
  <c r="D159" i="4"/>
  <c r="J159" i="4" s="1"/>
  <c r="E159" i="4"/>
  <c r="G159" i="4"/>
  <c r="H159" i="4"/>
  <c r="I159" i="4"/>
  <c r="C160" i="4"/>
  <c r="A160" i="4" s="1"/>
  <c r="D160" i="4"/>
  <c r="J160" i="4" s="1"/>
  <c r="E160" i="4"/>
  <c r="G160" i="4"/>
  <c r="H160" i="4"/>
  <c r="I160" i="4"/>
  <c r="C161" i="4"/>
  <c r="A161" i="4" s="1"/>
  <c r="D161" i="4"/>
  <c r="J161" i="4" s="1"/>
  <c r="E161" i="4"/>
  <c r="G161" i="4"/>
  <c r="H161" i="4"/>
  <c r="I161" i="4"/>
  <c r="C162" i="4"/>
  <c r="A162" i="4" s="1"/>
  <c r="D162" i="4"/>
  <c r="J162" i="4" s="1"/>
  <c r="E162" i="4"/>
  <c r="G162" i="4"/>
  <c r="H162" i="4"/>
  <c r="I162" i="4"/>
  <c r="C163" i="4"/>
  <c r="A163" i="4" s="1"/>
  <c r="D163" i="4"/>
  <c r="J163" i="4" s="1"/>
  <c r="E163" i="4"/>
  <c r="G163" i="4"/>
  <c r="H163" i="4"/>
  <c r="I163" i="4"/>
  <c r="C164" i="4"/>
  <c r="A164" i="4" s="1"/>
  <c r="D164" i="4"/>
  <c r="J164" i="4" s="1"/>
  <c r="E164" i="4"/>
  <c r="G164" i="4"/>
  <c r="H164" i="4"/>
  <c r="I164" i="4"/>
  <c r="C165" i="4"/>
  <c r="A165" i="4" s="1"/>
  <c r="D165" i="4"/>
  <c r="J165" i="4" s="1"/>
  <c r="E165" i="4"/>
  <c r="G165" i="4"/>
  <c r="H165" i="4"/>
  <c r="I165" i="4"/>
  <c r="C166" i="4"/>
  <c r="A166" i="4" s="1"/>
  <c r="D166" i="4"/>
  <c r="J166" i="4" s="1"/>
  <c r="E166" i="4"/>
  <c r="G166" i="4"/>
  <c r="H166" i="4"/>
  <c r="I166" i="4"/>
  <c r="C167" i="4"/>
  <c r="A167" i="4" s="1"/>
  <c r="D167" i="4"/>
  <c r="J167" i="4" s="1"/>
  <c r="E167" i="4"/>
  <c r="G167" i="4"/>
  <c r="H167" i="4"/>
  <c r="I167" i="4"/>
  <c r="C168" i="4"/>
  <c r="A168" i="4" s="1"/>
  <c r="D168" i="4"/>
  <c r="J168" i="4" s="1"/>
  <c r="E168" i="4"/>
  <c r="G168" i="4"/>
  <c r="H168" i="4"/>
  <c r="I168" i="4"/>
  <c r="C169" i="4"/>
  <c r="A169" i="4" s="1"/>
  <c r="D169" i="4"/>
  <c r="J169" i="4" s="1"/>
  <c r="E169" i="4"/>
  <c r="G169" i="4"/>
  <c r="H169" i="4"/>
  <c r="I169" i="4"/>
  <c r="C170" i="4"/>
  <c r="A170" i="4" s="1"/>
  <c r="D170" i="4"/>
  <c r="J170" i="4" s="1"/>
  <c r="E170" i="4"/>
  <c r="G170" i="4"/>
  <c r="H170" i="4"/>
  <c r="I170" i="4"/>
  <c r="C171" i="4"/>
  <c r="A171" i="4" s="1"/>
  <c r="D171" i="4"/>
  <c r="J171" i="4" s="1"/>
  <c r="E171" i="4"/>
  <c r="G171" i="4"/>
  <c r="H171" i="4"/>
  <c r="I171" i="4"/>
  <c r="C172" i="4"/>
  <c r="A172" i="4" s="1"/>
  <c r="D172" i="4"/>
  <c r="J172" i="4" s="1"/>
  <c r="E172" i="4"/>
  <c r="G172" i="4"/>
  <c r="H172" i="4"/>
  <c r="I172" i="4"/>
  <c r="C173" i="4"/>
  <c r="A173" i="4" s="1"/>
  <c r="D173" i="4"/>
  <c r="J173" i="4" s="1"/>
  <c r="E173" i="4"/>
  <c r="G173" i="4"/>
  <c r="H173" i="4"/>
  <c r="I173" i="4"/>
  <c r="C174" i="4"/>
  <c r="A174" i="4" s="1"/>
  <c r="D174" i="4"/>
  <c r="J174" i="4" s="1"/>
  <c r="E174" i="4"/>
  <c r="G174" i="4"/>
  <c r="H174" i="4"/>
  <c r="I174" i="4"/>
  <c r="C175" i="4"/>
  <c r="A175" i="4" s="1"/>
  <c r="D175" i="4"/>
  <c r="J175" i="4" s="1"/>
  <c r="E175" i="4"/>
  <c r="G175" i="4"/>
  <c r="H175" i="4"/>
  <c r="I175" i="4"/>
  <c r="C176" i="4"/>
  <c r="A176" i="4" s="1"/>
  <c r="D176" i="4"/>
  <c r="J176" i="4" s="1"/>
  <c r="E176" i="4"/>
  <c r="G176" i="4"/>
  <c r="H176" i="4"/>
  <c r="I176" i="4"/>
  <c r="C177" i="4"/>
  <c r="A177" i="4" s="1"/>
  <c r="D177" i="4"/>
  <c r="J177" i="4" s="1"/>
  <c r="E177" i="4"/>
  <c r="G177" i="4"/>
  <c r="H177" i="4"/>
  <c r="I177" i="4"/>
  <c r="C178" i="4"/>
  <c r="A178" i="4" s="1"/>
  <c r="D178" i="4"/>
  <c r="J178" i="4" s="1"/>
  <c r="E178" i="4"/>
  <c r="G178" i="4"/>
  <c r="H178" i="4"/>
  <c r="I178" i="4"/>
  <c r="C179" i="4"/>
  <c r="A179" i="4" s="1"/>
  <c r="D179" i="4"/>
  <c r="J179" i="4" s="1"/>
  <c r="E179" i="4"/>
  <c r="G179" i="4"/>
  <c r="H179" i="4"/>
  <c r="I179" i="4"/>
  <c r="C180" i="4"/>
  <c r="A180" i="4" s="1"/>
  <c r="D180" i="4"/>
  <c r="J180" i="4" s="1"/>
  <c r="E180" i="4"/>
  <c r="G180" i="4"/>
  <c r="H180" i="4"/>
  <c r="I180" i="4"/>
  <c r="C181" i="4"/>
  <c r="A181" i="4" s="1"/>
  <c r="D181" i="4"/>
  <c r="J181" i="4" s="1"/>
  <c r="E181" i="4"/>
  <c r="G181" i="4"/>
  <c r="H181" i="4"/>
  <c r="I181" i="4"/>
  <c r="C182" i="4"/>
  <c r="A182" i="4" s="1"/>
  <c r="D182" i="4"/>
  <c r="J182" i="4" s="1"/>
  <c r="E182" i="4"/>
  <c r="G182" i="4"/>
  <c r="H182" i="4"/>
  <c r="I182" i="4"/>
  <c r="C183" i="4"/>
  <c r="A183" i="4" s="1"/>
  <c r="D183" i="4"/>
  <c r="J183" i="4" s="1"/>
  <c r="E183" i="4"/>
  <c r="G183" i="4"/>
  <c r="H183" i="4"/>
  <c r="I183" i="4"/>
  <c r="C184" i="4"/>
  <c r="A184" i="4" s="1"/>
  <c r="D184" i="4"/>
  <c r="J184" i="4" s="1"/>
  <c r="E184" i="4"/>
  <c r="G184" i="4"/>
  <c r="H184" i="4"/>
  <c r="I184" i="4"/>
  <c r="C185" i="4"/>
  <c r="A185" i="4" s="1"/>
  <c r="D185" i="4"/>
  <c r="J185" i="4" s="1"/>
  <c r="E185" i="4"/>
  <c r="G185" i="4"/>
  <c r="H185" i="4"/>
  <c r="I185" i="4"/>
  <c r="C186" i="4"/>
  <c r="A186" i="4" s="1"/>
  <c r="D186" i="4"/>
  <c r="J186" i="4" s="1"/>
  <c r="E186" i="4"/>
  <c r="G186" i="4"/>
  <c r="H186" i="4"/>
  <c r="I186" i="4"/>
  <c r="C187" i="4"/>
  <c r="A187" i="4" s="1"/>
  <c r="D187" i="4"/>
  <c r="J187" i="4" s="1"/>
  <c r="E187" i="4"/>
  <c r="G187" i="4"/>
  <c r="H187" i="4"/>
  <c r="I187" i="4"/>
  <c r="C188" i="4"/>
  <c r="A188" i="4" s="1"/>
  <c r="D188" i="4"/>
  <c r="J188" i="4" s="1"/>
  <c r="E188" i="4"/>
  <c r="G188" i="4"/>
  <c r="H188" i="4"/>
  <c r="I188" i="4"/>
  <c r="C189" i="4"/>
  <c r="A189" i="4" s="1"/>
  <c r="D189" i="4"/>
  <c r="J189" i="4" s="1"/>
  <c r="E189" i="4"/>
  <c r="G189" i="4"/>
  <c r="H189" i="4"/>
  <c r="I189" i="4"/>
  <c r="C190" i="4"/>
  <c r="A190" i="4" s="1"/>
  <c r="D190" i="4"/>
  <c r="J190" i="4" s="1"/>
  <c r="E190" i="4"/>
  <c r="G190" i="4"/>
  <c r="H190" i="4"/>
  <c r="I190" i="4"/>
  <c r="C191" i="4"/>
  <c r="A191" i="4" s="1"/>
  <c r="D191" i="4"/>
  <c r="J191" i="4" s="1"/>
  <c r="E191" i="4"/>
  <c r="G191" i="4"/>
  <c r="H191" i="4"/>
  <c r="I191" i="4"/>
  <c r="C192" i="4"/>
  <c r="A192" i="4" s="1"/>
  <c r="D192" i="4"/>
  <c r="J192" i="4" s="1"/>
  <c r="E192" i="4"/>
  <c r="G192" i="4"/>
  <c r="H192" i="4"/>
  <c r="I192" i="4"/>
  <c r="C193" i="4"/>
  <c r="A193" i="4" s="1"/>
  <c r="D193" i="4"/>
  <c r="J193" i="4" s="1"/>
  <c r="E193" i="4"/>
  <c r="G193" i="4"/>
  <c r="H193" i="4"/>
  <c r="I193" i="4"/>
  <c r="C194" i="4"/>
  <c r="A194" i="4" s="1"/>
  <c r="D194" i="4"/>
  <c r="J194" i="4" s="1"/>
  <c r="E194" i="4"/>
  <c r="G194" i="4"/>
  <c r="H194" i="4"/>
  <c r="I194" i="4"/>
  <c r="C195" i="4"/>
  <c r="A195" i="4" s="1"/>
  <c r="D195" i="4"/>
  <c r="J195" i="4" s="1"/>
  <c r="E195" i="4"/>
  <c r="G195" i="4"/>
  <c r="H195" i="4"/>
  <c r="I195" i="4"/>
  <c r="C196" i="4"/>
  <c r="A196" i="4" s="1"/>
  <c r="D196" i="4"/>
  <c r="J196" i="4" s="1"/>
  <c r="E196" i="4"/>
  <c r="G196" i="4"/>
  <c r="H196" i="4"/>
  <c r="I196" i="4"/>
  <c r="C197" i="4"/>
  <c r="A197" i="4" s="1"/>
  <c r="D197" i="4"/>
  <c r="J197" i="4" s="1"/>
  <c r="E197" i="4"/>
  <c r="G197" i="4"/>
  <c r="H197" i="4"/>
  <c r="I197" i="4"/>
  <c r="C198" i="4"/>
  <c r="A198" i="4" s="1"/>
  <c r="D198" i="4"/>
  <c r="J198" i="4" s="1"/>
  <c r="E198" i="4"/>
  <c r="G198" i="4"/>
  <c r="H198" i="4"/>
  <c r="I198" i="4"/>
  <c r="C199" i="4"/>
  <c r="A199" i="4" s="1"/>
  <c r="D199" i="4"/>
  <c r="J199" i="4" s="1"/>
  <c r="E199" i="4"/>
  <c r="G199" i="4"/>
  <c r="H199" i="4"/>
  <c r="I199" i="4"/>
  <c r="C200" i="4"/>
  <c r="A200" i="4" s="1"/>
  <c r="D200" i="4"/>
  <c r="J200" i="4" s="1"/>
  <c r="E200" i="4"/>
  <c r="G200" i="4"/>
  <c r="H200" i="4"/>
  <c r="I200" i="4"/>
  <c r="C201" i="4"/>
  <c r="A201" i="4" s="1"/>
  <c r="D201" i="4"/>
  <c r="J201" i="4" s="1"/>
  <c r="E201" i="4"/>
  <c r="G201" i="4"/>
  <c r="H201" i="4"/>
  <c r="I201" i="4"/>
  <c r="C202" i="4"/>
  <c r="A202" i="4" s="1"/>
  <c r="D202" i="4"/>
  <c r="J202" i="4" s="1"/>
  <c r="E202" i="4"/>
  <c r="G202" i="4"/>
  <c r="H202" i="4"/>
  <c r="I202" i="4"/>
  <c r="C203" i="4"/>
  <c r="A203" i="4" s="1"/>
  <c r="D203" i="4"/>
  <c r="J203" i="4" s="1"/>
  <c r="E203" i="4"/>
  <c r="G203" i="4"/>
  <c r="H203" i="4"/>
  <c r="I203" i="4"/>
  <c r="D105" i="4"/>
  <c r="J105" i="4" s="1"/>
  <c r="E105" i="4"/>
  <c r="G105" i="4"/>
  <c r="H105" i="4"/>
  <c r="I105" i="4"/>
  <c r="C105" i="4"/>
  <c r="A105" i="4" s="1"/>
  <c r="C7" i="4"/>
  <c r="A7" i="4" s="1"/>
  <c r="D7" i="4"/>
  <c r="J7" i="4" s="1"/>
  <c r="E7" i="4"/>
  <c r="G7" i="4"/>
  <c r="H7" i="4"/>
  <c r="I7" i="4"/>
  <c r="C8" i="4"/>
  <c r="A8" i="4" s="1"/>
  <c r="D8" i="4"/>
  <c r="J8" i="4" s="1"/>
  <c r="E8" i="4"/>
  <c r="G8" i="4"/>
  <c r="H8" i="4"/>
  <c r="I8" i="4"/>
  <c r="C9" i="4"/>
  <c r="A9" i="4" s="1"/>
  <c r="D9" i="4"/>
  <c r="J9" i="4" s="1"/>
  <c r="E9" i="4"/>
  <c r="G9" i="4"/>
  <c r="H9" i="4"/>
  <c r="I9" i="4"/>
  <c r="C10" i="4"/>
  <c r="A10" i="4" s="1"/>
  <c r="D10" i="4"/>
  <c r="J10" i="4" s="1"/>
  <c r="E10" i="4"/>
  <c r="G10" i="4"/>
  <c r="H10" i="4"/>
  <c r="I10" i="4"/>
  <c r="C11" i="4"/>
  <c r="A11" i="4" s="1"/>
  <c r="D11" i="4"/>
  <c r="J11" i="4" s="1"/>
  <c r="E11" i="4"/>
  <c r="G11" i="4"/>
  <c r="H11" i="4"/>
  <c r="I11" i="4"/>
  <c r="C12" i="4"/>
  <c r="A12" i="4" s="1"/>
  <c r="D12" i="4"/>
  <c r="J12" i="4" s="1"/>
  <c r="E12" i="4"/>
  <c r="G12" i="4"/>
  <c r="H12" i="4"/>
  <c r="I12" i="4"/>
  <c r="C13" i="4"/>
  <c r="A13" i="4" s="1"/>
  <c r="D13" i="4"/>
  <c r="J13" i="4" s="1"/>
  <c r="E13" i="4"/>
  <c r="G13" i="4"/>
  <c r="H13" i="4"/>
  <c r="I13" i="4"/>
  <c r="C14" i="4"/>
  <c r="A14" i="4" s="1"/>
  <c r="D14" i="4"/>
  <c r="J14" i="4" s="1"/>
  <c r="E14" i="4"/>
  <c r="G14" i="4"/>
  <c r="H14" i="4"/>
  <c r="I14" i="4"/>
  <c r="C15" i="4"/>
  <c r="A15" i="4" s="1"/>
  <c r="D15" i="4"/>
  <c r="J15" i="4" s="1"/>
  <c r="E15" i="4"/>
  <c r="G15" i="4"/>
  <c r="H15" i="4"/>
  <c r="I15" i="4"/>
  <c r="C16" i="4"/>
  <c r="A16" i="4" s="1"/>
  <c r="D16" i="4"/>
  <c r="J16" i="4" s="1"/>
  <c r="E16" i="4"/>
  <c r="G16" i="4"/>
  <c r="H16" i="4"/>
  <c r="I16" i="4"/>
  <c r="C17" i="4"/>
  <c r="A17" i="4" s="1"/>
  <c r="D17" i="4"/>
  <c r="J17" i="4" s="1"/>
  <c r="E17" i="4"/>
  <c r="G17" i="4"/>
  <c r="H17" i="4"/>
  <c r="I17" i="4"/>
  <c r="C18" i="4"/>
  <c r="A18" i="4" s="1"/>
  <c r="D18" i="4"/>
  <c r="J18" i="4" s="1"/>
  <c r="E18" i="4"/>
  <c r="G18" i="4"/>
  <c r="H18" i="4"/>
  <c r="I18" i="4"/>
  <c r="C19" i="4"/>
  <c r="A19" i="4" s="1"/>
  <c r="D19" i="4"/>
  <c r="J19" i="4" s="1"/>
  <c r="E19" i="4"/>
  <c r="G19" i="4"/>
  <c r="H19" i="4"/>
  <c r="I19" i="4"/>
  <c r="C20" i="4"/>
  <c r="A20" i="4" s="1"/>
  <c r="D20" i="4"/>
  <c r="J20" i="4" s="1"/>
  <c r="E20" i="4"/>
  <c r="G20" i="4"/>
  <c r="H20" i="4"/>
  <c r="I20" i="4"/>
  <c r="C21" i="4"/>
  <c r="A21" i="4" s="1"/>
  <c r="D21" i="4"/>
  <c r="J21" i="4" s="1"/>
  <c r="E21" i="4"/>
  <c r="G21" i="4"/>
  <c r="H21" i="4"/>
  <c r="I21" i="4"/>
  <c r="C22" i="4"/>
  <c r="A22" i="4" s="1"/>
  <c r="D22" i="4"/>
  <c r="J22" i="4" s="1"/>
  <c r="E22" i="4"/>
  <c r="G22" i="4"/>
  <c r="H22" i="4"/>
  <c r="I22" i="4"/>
  <c r="C23" i="4"/>
  <c r="A23" i="4" s="1"/>
  <c r="D23" i="4"/>
  <c r="J23" i="4" s="1"/>
  <c r="E23" i="4"/>
  <c r="G23" i="4"/>
  <c r="H23" i="4"/>
  <c r="I23" i="4"/>
  <c r="C24" i="4"/>
  <c r="A24" i="4" s="1"/>
  <c r="D24" i="4"/>
  <c r="J24" i="4" s="1"/>
  <c r="E24" i="4"/>
  <c r="G24" i="4"/>
  <c r="H24" i="4"/>
  <c r="I24" i="4"/>
  <c r="C25" i="4"/>
  <c r="A25" i="4" s="1"/>
  <c r="D25" i="4"/>
  <c r="J25" i="4" s="1"/>
  <c r="E25" i="4"/>
  <c r="G25" i="4"/>
  <c r="H25" i="4"/>
  <c r="I25" i="4"/>
  <c r="C26" i="4"/>
  <c r="A26" i="4" s="1"/>
  <c r="D26" i="4"/>
  <c r="J26" i="4" s="1"/>
  <c r="E26" i="4"/>
  <c r="G26" i="4"/>
  <c r="H26" i="4"/>
  <c r="I26" i="4"/>
  <c r="C27" i="4"/>
  <c r="A27" i="4" s="1"/>
  <c r="D27" i="4"/>
  <c r="J27" i="4" s="1"/>
  <c r="E27" i="4"/>
  <c r="G27" i="4"/>
  <c r="H27" i="4"/>
  <c r="I27" i="4"/>
  <c r="C28" i="4"/>
  <c r="A28" i="4" s="1"/>
  <c r="D28" i="4"/>
  <c r="J28" i="4" s="1"/>
  <c r="E28" i="4"/>
  <c r="G28" i="4"/>
  <c r="H28" i="4"/>
  <c r="I28" i="4"/>
  <c r="C29" i="4"/>
  <c r="A29" i="4" s="1"/>
  <c r="D29" i="4"/>
  <c r="J29" i="4" s="1"/>
  <c r="E29" i="4"/>
  <c r="G29" i="4"/>
  <c r="H29" i="4"/>
  <c r="I29" i="4"/>
  <c r="C30" i="4"/>
  <c r="A30" i="4" s="1"/>
  <c r="D30" i="4"/>
  <c r="J30" i="4" s="1"/>
  <c r="E30" i="4"/>
  <c r="G30" i="4"/>
  <c r="H30" i="4"/>
  <c r="I30" i="4"/>
  <c r="C31" i="4"/>
  <c r="A31" i="4" s="1"/>
  <c r="D31" i="4"/>
  <c r="J31" i="4" s="1"/>
  <c r="E31" i="4"/>
  <c r="G31" i="4"/>
  <c r="H31" i="4"/>
  <c r="I31" i="4"/>
  <c r="C32" i="4"/>
  <c r="A32" i="4" s="1"/>
  <c r="D32" i="4"/>
  <c r="J32" i="4" s="1"/>
  <c r="E32" i="4"/>
  <c r="G32" i="4"/>
  <c r="H32" i="4"/>
  <c r="I32" i="4"/>
  <c r="C33" i="4"/>
  <c r="A33" i="4" s="1"/>
  <c r="D33" i="4"/>
  <c r="J33" i="4" s="1"/>
  <c r="E33" i="4"/>
  <c r="G33" i="4"/>
  <c r="H33" i="4"/>
  <c r="I33" i="4"/>
  <c r="C34" i="4"/>
  <c r="A34" i="4" s="1"/>
  <c r="D34" i="4"/>
  <c r="J34" i="4" s="1"/>
  <c r="E34" i="4"/>
  <c r="G34" i="4"/>
  <c r="H34" i="4"/>
  <c r="I34" i="4"/>
  <c r="C35" i="4"/>
  <c r="A35" i="4" s="1"/>
  <c r="D35" i="4"/>
  <c r="J35" i="4" s="1"/>
  <c r="E35" i="4"/>
  <c r="G35" i="4"/>
  <c r="H35" i="4"/>
  <c r="I35" i="4"/>
  <c r="C36" i="4"/>
  <c r="A36" i="4" s="1"/>
  <c r="D36" i="4"/>
  <c r="J36" i="4" s="1"/>
  <c r="E36" i="4"/>
  <c r="G36" i="4"/>
  <c r="H36" i="4"/>
  <c r="I36" i="4"/>
  <c r="C37" i="4"/>
  <c r="A37" i="4" s="1"/>
  <c r="D37" i="4"/>
  <c r="J37" i="4" s="1"/>
  <c r="E37" i="4"/>
  <c r="G37" i="4"/>
  <c r="H37" i="4"/>
  <c r="I37" i="4"/>
  <c r="C38" i="4"/>
  <c r="A38" i="4" s="1"/>
  <c r="D38" i="4"/>
  <c r="J38" i="4" s="1"/>
  <c r="E38" i="4"/>
  <c r="G38" i="4"/>
  <c r="H38" i="4"/>
  <c r="I38" i="4"/>
  <c r="C39" i="4"/>
  <c r="A39" i="4" s="1"/>
  <c r="D39" i="4"/>
  <c r="J39" i="4" s="1"/>
  <c r="E39" i="4"/>
  <c r="G39" i="4"/>
  <c r="H39" i="4"/>
  <c r="I39" i="4"/>
  <c r="C40" i="4"/>
  <c r="A40" i="4" s="1"/>
  <c r="D40" i="4"/>
  <c r="J40" i="4" s="1"/>
  <c r="E40" i="4"/>
  <c r="G40" i="4"/>
  <c r="H40" i="4"/>
  <c r="I40" i="4"/>
  <c r="C41" i="4"/>
  <c r="A41" i="4" s="1"/>
  <c r="D41" i="4"/>
  <c r="J41" i="4" s="1"/>
  <c r="E41" i="4"/>
  <c r="G41" i="4"/>
  <c r="H41" i="4"/>
  <c r="I41" i="4"/>
  <c r="C42" i="4"/>
  <c r="A42" i="4" s="1"/>
  <c r="D42" i="4"/>
  <c r="J42" i="4" s="1"/>
  <c r="E42" i="4"/>
  <c r="G42" i="4"/>
  <c r="H42" i="4"/>
  <c r="I42" i="4"/>
  <c r="C43" i="4"/>
  <c r="A43" i="4" s="1"/>
  <c r="D43" i="4"/>
  <c r="J43" i="4" s="1"/>
  <c r="E43" i="4"/>
  <c r="G43" i="4"/>
  <c r="H43" i="4"/>
  <c r="I43" i="4"/>
  <c r="C44" i="4"/>
  <c r="A44" i="4" s="1"/>
  <c r="D44" i="4"/>
  <c r="J44" i="4" s="1"/>
  <c r="E44" i="4"/>
  <c r="G44" i="4"/>
  <c r="H44" i="4"/>
  <c r="I44" i="4"/>
  <c r="C45" i="4"/>
  <c r="A45" i="4" s="1"/>
  <c r="D45" i="4"/>
  <c r="J45" i="4" s="1"/>
  <c r="E45" i="4"/>
  <c r="G45" i="4"/>
  <c r="H45" i="4"/>
  <c r="I45" i="4"/>
  <c r="C46" i="4"/>
  <c r="A46" i="4" s="1"/>
  <c r="D46" i="4"/>
  <c r="J46" i="4" s="1"/>
  <c r="E46" i="4"/>
  <c r="G46" i="4"/>
  <c r="H46" i="4"/>
  <c r="I46" i="4"/>
  <c r="C47" i="4"/>
  <c r="A47" i="4" s="1"/>
  <c r="D47" i="4"/>
  <c r="J47" i="4" s="1"/>
  <c r="E47" i="4"/>
  <c r="G47" i="4"/>
  <c r="H47" i="4"/>
  <c r="I47" i="4"/>
  <c r="C48" i="4"/>
  <c r="A48" i="4" s="1"/>
  <c r="D48" i="4"/>
  <c r="J48" i="4" s="1"/>
  <c r="E48" i="4"/>
  <c r="G48" i="4"/>
  <c r="H48" i="4"/>
  <c r="I48" i="4"/>
  <c r="C49" i="4"/>
  <c r="A49" i="4" s="1"/>
  <c r="D49" i="4"/>
  <c r="J49" i="4" s="1"/>
  <c r="E49" i="4"/>
  <c r="G49" i="4"/>
  <c r="H49" i="4"/>
  <c r="I49" i="4"/>
  <c r="C50" i="4"/>
  <c r="A50" i="4" s="1"/>
  <c r="D50" i="4"/>
  <c r="J50" i="4" s="1"/>
  <c r="E50" i="4"/>
  <c r="G50" i="4"/>
  <c r="H50" i="4"/>
  <c r="I50" i="4"/>
  <c r="C51" i="4"/>
  <c r="A51" i="4" s="1"/>
  <c r="D51" i="4"/>
  <c r="J51" i="4" s="1"/>
  <c r="E51" i="4"/>
  <c r="G51" i="4"/>
  <c r="H51" i="4"/>
  <c r="I51" i="4"/>
  <c r="C52" i="4"/>
  <c r="A52" i="4" s="1"/>
  <c r="D52" i="4"/>
  <c r="J52" i="4" s="1"/>
  <c r="E52" i="4"/>
  <c r="G52" i="4"/>
  <c r="H52" i="4"/>
  <c r="I52" i="4"/>
  <c r="C53" i="4"/>
  <c r="A53" i="4" s="1"/>
  <c r="D53" i="4"/>
  <c r="J53" i="4" s="1"/>
  <c r="E53" i="4"/>
  <c r="G53" i="4"/>
  <c r="H53" i="4"/>
  <c r="I53" i="4"/>
  <c r="C54" i="4"/>
  <c r="A54" i="4" s="1"/>
  <c r="D54" i="4"/>
  <c r="J54" i="4" s="1"/>
  <c r="E54" i="4"/>
  <c r="G54" i="4"/>
  <c r="H54" i="4"/>
  <c r="I54" i="4"/>
  <c r="C55" i="4"/>
  <c r="A55" i="4" s="1"/>
  <c r="D55" i="4"/>
  <c r="J55" i="4" s="1"/>
  <c r="E55" i="4"/>
  <c r="G55" i="4"/>
  <c r="H55" i="4"/>
  <c r="I55" i="4"/>
  <c r="C56" i="4"/>
  <c r="A56" i="4" s="1"/>
  <c r="D56" i="4"/>
  <c r="J56" i="4" s="1"/>
  <c r="E56" i="4"/>
  <c r="G56" i="4"/>
  <c r="H56" i="4"/>
  <c r="I56" i="4"/>
  <c r="C57" i="4"/>
  <c r="A57" i="4" s="1"/>
  <c r="D57" i="4"/>
  <c r="J57" i="4" s="1"/>
  <c r="E57" i="4"/>
  <c r="G57" i="4"/>
  <c r="H57" i="4"/>
  <c r="I57" i="4"/>
  <c r="C58" i="4"/>
  <c r="A58" i="4" s="1"/>
  <c r="D58" i="4"/>
  <c r="J58" i="4" s="1"/>
  <c r="E58" i="4"/>
  <c r="G58" i="4"/>
  <c r="H58" i="4"/>
  <c r="I58" i="4"/>
  <c r="C59" i="4"/>
  <c r="A59" i="4" s="1"/>
  <c r="D59" i="4"/>
  <c r="J59" i="4" s="1"/>
  <c r="E59" i="4"/>
  <c r="G59" i="4"/>
  <c r="H59" i="4"/>
  <c r="I59" i="4"/>
  <c r="C60" i="4"/>
  <c r="A60" i="4" s="1"/>
  <c r="D60" i="4"/>
  <c r="J60" i="4" s="1"/>
  <c r="E60" i="4"/>
  <c r="G60" i="4"/>
  <c r="H60" i="4"/>
  <c r="I60" i="4"/>
  <c r="C61" i="4"/>
  <c r="A61" i="4" s="1"/>
  <c r="D61" i="4"/>
  <c r="J61" i="4" s="1"/>
  <c r="E61" i="4"/>
  <c r="G61" i="4"/>
  <c r="H61" i="4"/>
  <c r="I61" i="4"/>
  <c r="C62" i="4"/>
  <c r="A62" i="4" s="1"/>
  <c r="D62" i="4"/>
  <c r="J62" i="4" s="1"/>
  <c r="E62" i="4"/>
  <c r="G62" i="4"/>
  <c r="H62" i="4"/>
  <c r="I62" i="4"/>
  <c r="C63" i="4"/>
  <c r="A63" i="4" s="1"/>
  <c r="D63" i="4"/>
  <c r="J63" i="4" s="1"/>
  <c r="E63" i="4"/>
  <c r="G63" i="4"/>
  <c r="H63" i="4"/>
  <c r="I63" i="4"/>
  <c r="C64" i="4"/>
  <c r="A64" i="4" s="1"/>
  <c r="D64" i="4"/>
  <c r="J64" i="4" s="1"/>
  <c r="E64" i="4"/>
  <c r="G64" i="4"/>
  <c r="H64" i="4"/>
  <c r="I64" i="4"/>
  <c r="C65" i="4"/>
  <c r="A65" i="4" s="1"/>
  <c r="D65" i="4"/>
  <c r="J65" i="4" s="1"/>
  <c r="E65" i="4"/>
  <c r="G65" i="4"/>
  <c r="H65" i="4"/>
  <c r="I65" i="4"/>
  <c r="C66" i="4"/>
  <c r="A66" i="4" s="1"/>
  <c r="D66" i="4"/>
  <c r="J66" i="4" s="1"/>
  <c r="E66" i="4"/>
  <c r="G66" i="4"/>
  <c r="H66" i="4"/>
  <c r="I66" i="4"/>
  <c r="C67" i="4"/>
  <c r="A67" i="4" s="1"/>
  <c r="D67" i="4"/>
  <c r="J67" i="4" s="1"/>
  <c r="E67" i="4"/>
  <c r="G67" i="4"/>
  <c r="H67" i="4"/>
  <c r="I67" i="4"/>
  <c r="C68" i="4"/>
  <c r="A68" i="4" s="1"/>
  <c r="D68" i="4"/>
  <c r="J68" i="4" s="1"/>
  <c r="E68" i="4"/>
  <c r="G68" i="4"/>
  <c r="H68" i="4"/>
  <c r="I68" i="4"/>
  <c r="C69" i="4"/>
  <c r="A69" i="4" s="1"/>
  <c r="D69" i="4"/>
  <c r="J69" i="4" s="1"/>
  <c r="E69" i="4"/>
  <c r="G69" i="4"/>
  <c r="H69" i="4"/>
  <c r="I69" i="4"/>
  <c r="C70" i="4"/>
  <c r="A70" i="4" s="1"/>
  <c r="D70" i="4"/>
  <c r="J70" i="4" s="1"/>
  <c r="E70" i="4"/>
  <c r="G70" i="4"/>
  <c r="H70" i="4"/>
  <c r="I70" i="4"/>
  <c r="C71" i="4"/>
  <c r="A71" i="4" s="1"/>
  <c r="D71" i="4"/>
  <c r="J71" i="4" s="1"/>
  <c r="E71" i="4"/>
  <c r="G71" i="4"/>
  <c r="H71" i="4"/>
  <c r="I71" i="4"/>
  <c r="C72" i="4"/>
  <c r="A72" i="4" s="1"/>
  <c r="D72" i="4"/>
  <c r="J72" i="4" s="1"/>
  <c r="E72" i="4"/>
  <c r="G72" i="4"/>
  <c r="H72" i="4"/>
  <c r="I72" i="4"/>
  <c r="C73" i="4"/>
  <c r="A73" i="4" s="1"/>
  <c r="D73" i="4"/>
  <c r="J73" i="4" s="1"/>
  <c r="E73" i="4"/>
  <c r="G73" i="4"/>
  <c r="H73" i="4"/>
  <c r="I73" i="4"/>
  <c r="C74" i="4"/>
  <c r="A74" i="4" s="1"/>
  <c r="D74" i="4"/>
  <c r="J74" i="4" s="1"/>
  <c r="E74" i="4"/>
  <c r="G74" i="4"/>
  <c r="H74" i="4"/>
  <c r="I74" i="4"/>
  <c r="C75" i="4"/>
  <c r="A75" i="4" s="1"/>
  <c r="D75" i="4"/>
  <c r="J75" i="4" s="1"/>
  <c r="E75" i="4"/>
  <c r="G75" i="4"/>
  <c r="H75" i="4"/>
  <c r="I75" i="4"/>
  <c r="C76" i="4"/>
  <c r="A76" i="4" s="1"/>
  <c r="D76" i="4"/>
  <c r="J76" i="4" s="1"/>
  <c r="E76" i="4"/>
  <c r="G76" i="4"/>
  <c r="H76" i="4"/>
  <c r="I76" i="4"/>
  <c r="C77" i="4"/>
  <c r="A77" i="4" s="1"/>
  <c r="D77" i="4"/>
  <c r="J77" i="4" s="1"/>
  <c r="E77" i="4"/>
  <c r="G77" i="4"/>
  <c r="H77" i="4"/>
  <c r="I77" i="4"/>
  <c r="C78" i="4"/>
  <c r="A78" i="4" s="1"/>
  <c r="D78" i="4"/>
  <c r="J78" i="4" s="1"/>
  <c r="E78" i="4"/>
  <c r="G78" i="4"/>
  <c r="H78" i="4"/>
  <c r="I78" i="4"/>
  <c r="C79" i="4"/>
  <c r="A79" i="4" s="1"/>
  <c r="D79" i="4"/>
  <c r="J79" i="4" s="1"/>
  <c r="E79" i="4"/>
  <c r="G79" i="4"/>
  <c r="H79" i="4"/>
  <c r="I79" i="4"/>
  <c r="C80" i="4"/>
  <c r="A80" i="4" s="1"/>
  <c r="D80" i="4"/>
  <c r="J80" i="4" s="1"/>
  <c r="E80" i="4"/>
  <c r="G80" i="4"/>
  <c r="H80" i="4"/>
  <c r="I80" i="4"/>
  <c r="C81" i="4"/>
  <c r="A81" i="4" s="1"/>
  <c r="D81" i="4"/>
  <c r="J81" i="4" s="1"/>
  <c r="E81" i="4"/>
  <c r="G81" i="4"/>
  <c r="H81" i="4"/>
  <c r="I81" i="4"/>
  <c r="C82" i="4"/>
  <c r="A82" i="4" s="1"/>
  <c r="D82" i="4"/>
  <c r="J82" i="4" s="1"/>
  <c r="E82" i="4"/>
  <c r="G82" i="4"/>
  <c r="H82" i="4"/>
  <c r="I82" i="4"/>
  <c r="C83" i="4"/>
  <c r="A83" i="4" s="1"/>
  <c r="D83" i="4"/>
  <c r="J83" i="4" s="1"/>
  <c r="E83" i="4"/>
  <c r="G83" i="4"/>
  <c r="H83" i="4"/>
  <c r="I83" i="4"/>
  <c r="C84" i="4"/>
  <c r="A84" i="4" s="1"/>
  <c r="D84" i="4"/>
  <c r="J84" i="4" s="1"/>
  <c r="E84" i="4"/>
  <c r="G84" i="4"/>
  <c r="H84" i="4"/>
  <c r="I84" i="4"/>
  <c r="C85" i="4"/>
  <c r="A85" i="4" s="1"/>
  <c r="D85" i="4"/>
  <c r="J85" i="4" s="1"/>
  <c r="E85" i="4"/>
  <c r="G85" i="4"/>
  <c r="H85" i="4"/>
  <c r="I85" i="4"/>
  <c r="C86" i="4"/>
  <c r="A86" i="4" s="1"/>
  <c r="D86" i="4"/>
  <c r="J86" i="4" s="1"/>
  <c r="E86" i="4"/>
  <c r="G86" i="4"/>
  <c r="H86" i="4"/>
  <c r="I86" i="4"/>
  <c r="C87" i="4"/>
  <c r="A87" i="4" s="1"/>
  <c r="D87" i="4"/>
  <c r="J87" i="4" s="1"/>
  <c r="E87" i="4"/>
  <c r="G87" i="4"/>
  <c r="H87" i="4"/>
  <c r="I87" i="4"/>
  <c r="C88" i="4"/>
  <c r="A88" i="4" s="1"/>
  <c r="D88" i="4"/>
  <c r="J88" i="4" s="1"/>
  <c r="E88" i="4"/>
  <c r="G88" i="4"/>
  <c r="H88" i="4"/>
  <c r="I88" i="4"/>
  <c r="C89" i="4"/>
  <c r="A89" i="4" s="1"/>
  <c r="D89" i="4"/>
  <c r="J89" i="4" s="1"/>
  <c r="E89" i="4"/>
  <c r="G89" i="4"/>
  <c r="H89" i="4"/>
  <c r="I89" i="4"/>
  <c r="C90" i="4"/>
  <c r="A90" i="4" s="1"/>
  <c r="D90" i="4"/>
  <c r="J90" i="4" s="1"/>
  <c r="E90" i="4"/>
  <c r="G90" i="4"/>
  <c r="H90" i="4"/>
  <c r="I90" i="4"/>
  <c r="C91" i="4"/>
  <c r="A91" i="4" s="1"/>
  <c r="D91" i="4"/>
  <c r="J91" i="4" s="1"/>
  <c r="E91" i="4"/>
  <c r="G91" i="4"/>
  <c r="H91" i="4"/>
  <c r="I91" i="4"/>
  <c r="C92" i="4"/>
  <c r="A92" i="4" s="1"/>
  <c r="D92" i="4"/>
  <c r="J92" i="4" s="1"/>
  <c r="E92" i="4"/>
  <c r="G92" i="4"/>
  <c r="H92" i="4"/>
  <c r="I92" i="4"/>
  <c r="C93" i="4"/>
  <c r="A93" i="4" s="1"/>
  <c r="D93" i="4"/>
  <c r="J93" i="4" s="1"/>
  <c r="E93" i="4"/>
  <c r="G93" i="4"/>
  <c r="H93" i="4"/>
  <c r="I93" i="4"/>
  <c r="C94" i="4"/>
  <c r="A94" i="4" s="1"/>
  <c r="D94" i="4"/>
  <c r="J94" i="4" s="1"/>
  <c r="E94" i="4"/>
  <c r="G94" i="4"/>
  <c r="H94" i="4"/>
  <c r="I94" i="4"/>
  <c r="C95" i="4"/>
  <c r="A95" i="4" s="1"/>
  <c r="D95" i="4"/>
  <c r="J95" i="4" s="1"/>
  <c r="E95" i="4"/>
  <c r="G95" i="4"/>
  <c r="H95" i="4"/>
  <c r="I95" i="4"/>
  <c r="C96" i="4"/>
  <c r="A96" i="4" s="1"/>
  <c r="D96" i="4"/>
  <c r="J96" i="4" s="1"/>
  <c r="E96" i="4"/>
  <c r="G96" i="4"/>
  <c r="H96" i="4"/>
  <c r="I96" i="4"/>
  <c r="C97" i="4"/>
  <c r="A97" i="4" s="1"/>
  <c r="D97" i="4"/>
  <c r="J97" i="4" s="1"/>
  <c r="E97" i="4"/>
  <c r="G97" i="4"/>
  <c r="H97" i="4"/>
  <c r="I97" i="4"/>
  <c r="C98" i="4"/>
  <c r="A98" i="4" s="1"/>
  <c r="D98" i="4"/>
  <c r="J98" i="4" s="1"/>
  <c r="E98" i="4"/>
  <c r="G98" i="4"/>
  <c r="H98" i="4"/>
  <c r="I98" i="4"/>
  <c r="C99" i="4"/>
  <c r="A99" i="4" s="1"/>
  <c r="D99" i="4"/>
  <c r="J99" i="4" s="1"/>
  <c r="E99" i="4"/>
  <c r="G99" i="4"/>
  <c r="H99" i="4"/>
  <c r="I99" i="4"/>
  <c r="C100" i="4"/>
  <c r="A100" i="4" s="1"/>
  <c r="D100" i="4"/>
  <c r="J100" i="4" s="1"/>
  <c r="E100" i="4"/>
  <c r="G100" i="4"/>
  <c r="H100" i="4"/>
  <c r="I100" i="4"/>
  <c r="C101" i="4"/>
  <c r="A101" i="4" s="1"/>
  <c r="D101" i="4"/>
  <c r="J101" i="4" s="1"/>
  <c r="E101" i="4"/>
  <c r="G101" i="4"/>
  <c r="H101" i="4"/>
  <c r="I101" i="4"/>
  <c r="C102" i="4"/>
  <c r="A102" i="4" s="1"/>
  <c r="D102" i="4"/>
  <c r="J102" i="4" s="1"/>
  <c r="E102" i="4"/>
  <c r="G102" i="4"/>
  <c r="H102" i="4"/>
  <c r="I102" i="4"/>
  <c r="C103" i="4"/>
  <c r="A103" i="4" s="1"/>
  <c r="D103" i="4"/>
  <c r="J103" i="4" s="1"/>
  <c r="E103" i="4"/>
  <c r="G103" i="4"/>
  <c r="H103" i="4"/>
  <c r="I103" i="4"/>
  <c r="C104" i="4"/>
  <c r="A104" i="4" s="1"/>
  <c r="D104" i="4"/>
  <c r="J104" i="4" s="1"/>
  <c r="E104" i="4"/>
  <c r="G104" i="4"/>
  <c r="H104" i="4"/>
  <c r="I104" i="4"/>
  <c r="E5" i="4"/>
  <c r="G5" i="4"/>
  <c r="H5" i="4"/>
  <c r="I5" i="4"/>
  <c r="E6" i="4"/>
  <c r="G6" i="4"/>
  <c r="H6" i="4"/>
  <c r="I6" i="4"/>
  <c r="D5" i="4"/>
  <c r="J5" i="4" s="1"/>
  <c r="D6" i="4"/>
  <c r="J6" i="4" s="1"/>
  <c r="C6" i="4"/>
  <c r="A6" i="4" s="1"/>
  <c r="C5" i="4"/>
  <c r="A5" i="4" s="1"/>
  <c r="O14" i="8" s="1"/>
  <c r="F4" i="8" l="1"/>
  <c r="G4" i="8" s="1"/>
  <c r="H4" i="8" s="1"/>
  <c r="I4" i="8" s="1"/>
  <c r="L8" i="8"/>
  <c r="L9" i="8" l="1"/>
  <c r="L10" i="8" l="1"/>
  <c r="L1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 authorId="0" shapeId="0" xr:uid="{75B6E37D-B383-7845-9519-54292ED9C457}">
      <text>
        <r>
          <rPr>
            <sz val="10"/>
            <color rgb="FF000000"/>
            <rFont val="Tahoma"/>
            <family val="2"/>
          </rPr>
          <t xml:space="preserve">No. of coins
</t>
        </r>
      </text>
    </comment>
    <comment ref="E3" authorId="0" shapeId="0" xr:uid="{B2A2F89B-DEE0-7B49-907E-97E0B9414108}">
      <text>
        <r>
          <rPr>
            <sz val="10"/>
            <color rgb="FF000000"/>
            <rFont val="Tahoma"/>
            <family val="2"/>
          </rPr>
          <t xml:space="preserve">Average price of coin holdings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7" background="1" saveData="1">
    <webPr sourceData="1" parsePre="1" consecutive="1" xl2000="1" url="https://www.coingecko.com/en"/>
  </connection>
  <connection id="2" xr16:uid="{00000000-0015-0000-FFFF-FFFF01000000}" name="Connection1" type="4" refreshedVersion="7" background="1" saveData="1">
    <webPr sourceData="1" parsePre="1" consecutive="1" xl2000="1" url="https://www.coingecko.com/en?page=2"/>
  </connection>
  <connection id="3" xr16:uid="{AD0E81D4-4D67-664E-A21E-9A3C163C1594}" name="Connection2" type="4" refreshedVersion="7" background="1" saveData="1">
    <webPr consecutive="1" xl2000="1" url="https://www.coingecko.com/en?page=3" htmlFormat="all"/>
  </connection>
</connections>
</file>

<file path=xl/sharedStrings.xml><?xml version="1.0" encoding="utf-8"?>
<sst xmlns="http://schemas.openxmlformats.org/spreadsheetml/2006/main" count="4354" uniqueCount="2303">
  <si>
    <t>Coin</t>
  </si>
  <si>
    <t>Holdings (No.)</t>
  </si>
  <si>
    <t>MATIC</t>
  </si>
  <si>
    <t>DOT</t>
  </si>
  <si>
    <t>% Gain</t>
  </si>
  <si>
    <t>Current Value (USDT)</t>
  </si>
  <si>
    <t>ETH</t>
  </si>
  <si>
    <t>BNB</t>
  </si>
  <si>
    <t>Price</t>
  </si>
  <si>
    <t>Quantity</t>
  </si>
  <si>
    <t xml:space="preserve">EN </t>
  </si>
  <si>
    <t>Language</t>
  </si>
  <si>
    <t>English Deutsch Español Français Italiano język polski Limba română Magyar nyelv Nederlands Português Svenska</t>
  </si>
  <si>
    <t>Tiếng việt Türkçe Русский 日本語 简体中文 繁體中文 한국어 العربية ภาษาไทย Bahasa Indonesia</t>
  </si>
  <si>
    <t>Help</t>
  </si>
  <si>
    <t>coingecko candy jar</t>
  </si>
  <si>
    <t>Portfolio New Beam (beta) Price Alert Login and Security Subscription Sign Out</t>
  </si>
  <si>
    <t>Login Sign Up</t>
  </si>
  <si>
    <t xml:space="preserve">Subscribe </t>
  </si>
  <si>
    <t>CoinGecko LogoCoinGecko Logo (White)</t>
  </si>
  <si>
    <t>Home</t>
  </si>
  <si>
    <t>Subscribe</t>
  </si>
  <si>
    <t xml:space="preserve">Coins </t>
  </si>
  <si>
    <t>Market Cap Rank Recently Added</t>
  </si>
  <si>
    <t>Categories Discover</t>
  </si>
  <si>
    <t>Large Movers High Volumes</t>
  </si>
  <si>
    <t>Derivatives</t>
  </si>
  <si>
    <t>Perpetuals Futures</t>
  </si>
  <si>
    <t xml:space="preserve">Exchanges </t>
  </si>
  <si>
    <t>Spot DEX</t>
  </si>
  <si>
    <t>DeFi</t>
  </si>
  <si>
    <t xml:space="preserve">NFT </t>
  </si>
  <si>
    <t>NFTs &amp; Collectibles NFT Spotlight NFT Related Coins</t>
  </si>
  <si>
    <t>Portfolio New</t>
  </si>
  <si>
    <t xml:space="preserve">Publications </t>
  </si>
  <si>
    <t>Crypto Reports Newsletter</t>
  </si>
  <si>
    <t>Podcast Blog</t>
  </si>
  <si>
    <t>Books</t>
  </si>
  <si>
    <t>How To Bitcoin How To DeFi</t>
  </si>
  <si>
    <t>Guides</t>
  </si>
  <si>
    <t>CoinGecko Buzz Glossary</t>
  </si>
  <si>
    <t xml:space="preserve">Resources </t>
  </si>
  <si>
    <t>Earn Crypto Yield Farming</t>
  </si>
  <si>
    <t>Compare Coins Explore All Coins</t>
  </si>
  <si>
    <t>Bitcoin Halving</t>
  </si>
  <si>
    <t>Public Companies Treasury</t>
  </si>
  <si>
    <t>Bitcoin Treasury Ethereum Treasury</t>
  </si>
  <si>
    <t>In The News</t>
  </si>
  <si>
    <t>Beam Updates Latest News</t>
  </si>
  <si>
    <t xml:space="preserve">Products </t>
  </si>
  <si>
    <t>Premium Subscription Mobile App</t>
  </si>
  <si>
    <t>Store</t>
  </si>
  <si>
    <t>Developers</t>
  </si>
  <si>
    <t>Crypto API Widgets</t>
  </si>
  <si>
    <t>Request Form Methodology</t>
  </si>
  <si>
    <t xml:space="preserve">CoinGecko </t>
  </si>
  <si>
    <t>About Us</t>
  </si>
  <si>
    <t>Careers</t>
  </si>
  <si>
    <t>Branding Guide</t>
  </si>
  <si>
    <t xml:space="preserve">Help </t>
  </si>
  <si>
    <t>CoinGecko Premium</t>
  </si>
  <si>
    <t>FAQ</t>
  </si>
  <si>
    <t>Help Center</t>
  </si>
  <si>
    <t>Contact Us</t>
  </si>
  <si>
    <t>Bug Bounty</t>
  </si>
  <si>
    <t>English</t>
  </si>
  <si>
    <t>Deutsch</t>
  </si>
  <si>
    <t>Español</t>
  </si>
  <si>
    <t>Français</t>
  </si>
  <si>
    <t>Italiano</t>
  </si>
  <si>
    <t>język polski</t>
  </si>
  <si>
    <t>Limba română</t>
  </si>
  <si>
    <t>Magyar nyelv</t>
  </si>
  <si>
    <t>Nederlands</t>
  </si>
  <si>
    <t>Português</t>
  </si>
  <si>
    <t>Svenska</t>
  </si>
  <si>
    <t>Tiếng việt</t>
  </si>
  <si>
    <t>Türkçe</t>
  </si>
  <si>
    <t>Русский</t>
  </si>
  <si>
    <t>日本語</t>
  </si>
  <si>
    <t>简体中文</t>
  </si>
  <si>
    <t>繁體中文</t>
  </si>
  <si>
    <t>한국어</t>
  </si>
  <si>
    <t>العربية</t>
  </si>
  <si>
    <t>ภาษาไทย</t>
  </si>
  <si>
    <t>Bahasa Indonesia</t>
  </si>
  <si>
    <t xml:space="preserve">USD </t>
  </si>
  <si>
    <t>Currencies</t>
  </si>
  <si>
    <t>Cryptocurrencies</t>
  </si>
  <si>
    <t>BTC</t>
  </si>
  <si>
    <t>Bitcoin</t>
  </si>
  <si>
    <t>Ether</t>
  </si>
  <si>
    <t>LTC</t>
  </si>
  <si>
    <t>Litecoin</t>
  </si>
  <si>
    <t>BCH</t>
  </si>
  <si>
    <t>Bitcoin Cash</t>
  </si>
  <si>
    <t>Binance Coin</t>
  </si>
  <si>
    <t>EOS</t>
  </si>
  <si>
    <t>XRP</t>
  </si>
  <si>
    <t>XLM</t>
  </si>
  <si>
    <t>Lumens</t>
  </si>
  <si>
    <t>LINK</t>
  </si>
  <si>
    <t>Chainlink</t>
  </si>
  <si>
    <t>Polkadot</t>
  </si>
  <si>
    <t>YFI</t>
  </si>
  <si>
    <t>Yearn.finance</t>
  </si>
  <si>
    <t>Bitcoin Units New</t>
  </si>
  <si>
    <t>BITS</t>
  </si>
  <si>
    <t>Bits</t>
  </si>
  <si>
    <t>SATS</t>
  </si>
  <si>
    <t>Satoshi</t>
  </si>
  <si>
    <t>Suggested Currencies</t>
  </si>
  <si>
    <t>USD</t>
  </si>
  <si>
    <t>US Dollar</t>
  </si>
  <si>
    <t>IDR</t>
  </si>
  <si>
    <t>Indonesian Rupiah</t>
  </si>
  <si>
    <t>TWD</t>
  </si>
  <si>
    <t>New Taiwan Dollar</t>
  </si>
  <si>
    <t>EUR</t>
  </si>
  <si>
    <t>Euro</t>
  </si>
  <si>
    <t>KRW</t>
  </si>
  <si>
    <t>South Korean Won</t>
  </si>
  <si>
    <t>JPY</t>
  </si>
  <si>
    <t>Japanese Yen</t>
  </si>
  <si>
    <t>RUB</t>
  </si>
  <si>
    <t>Russian Ruble</t>
  </si>
  <si>
    <t>CNY</t>
  </si>
  <si>
    <t>Chinese Yuan</t>
  </si>
  <si>
    <t>Fiat Currencies</t>
  </si>
  <si>
    <t>AED</t>
  </si>
  <si>
    <t>United Arab Emirates Dirham</t>
  </si>
  <si>
    <t>ARS</t>
  </si>
  <si>
    <t>Argentine Peso</t>
  </si>
  <si>
    <t>AUD</t>
  </si>
  <si>
    <t>Australian Dollar</t>
  </si>
  <si>
    <t>BDT</t>
  </si>
  <si>
    <t>Bangladeshi Taka</t>
  </si>
  <si>
    <t>BHD</t>
  </si>
  <si>
    <t>Bahraini Dinar</t>
  </si>
  <si>
    <t>BMD</t>
  </si>
  <si>
    <t>Bermudian Dollar</t>
  </si>
  <si>
    <t>BRL</t>
  </si>
  <si>
    <t>Brazil Real</t>
  </si>
  <si>
    <t>CAD</t>
  </si>
  <si>
    <t>Canadian Dollar</t>
  </si>
  <si>
    <t>CHF</t>
  </si>
  <si>
    <t>Swiss Franc</t>
  </si>
  <si>
    <t>CLP</t>
  </si>
  <si>
    <t>Chilean Peso</t>
  </si>
  <si>
    <t>CZK</t>
  </si>
  <si>
    <t>Czech Koruna</t>
  </si>
  <si>
    <t>DKK</t>
  </si>
  <si>
    <t>Danish Krone</t>
  </si>
  <si>
    <t>GBP</t>
  </si>
  <si>
    <t>British Pound Sterling</t>
  </si>
  <si>
    <t>HKD</t>
  </si>
  <si>
    <t>Hong Kong Dollar</t>
  </si>
  <si>
    <t>HUF</t>
  </si>
  <si>
    <t>Hungarian Forint</t>
  </si>
  <si>
    <t>ILS</t>
  </si>
  <si>
    <t>Israeli New Shekel</t>
  </si>
  <si>
    <t>INR</t>
  </si>
  <si>
    <t>Indian Rupee</t>
  </si>
  <si>
    <t>KWD</t>
  </si>
  <si>
    <t>Kuwaiti Dinar</t>
  </si>
  <si>
    <t>LKR</t>
  </si>
  <si>
    <t>Sri Lankan Rupee</t>
  </si>
  <si>
    <t>MMK</t>
  </si>
  <si>
    <t>Burmese Kyat</t>
  </si>
  <si>
    <t>MXN</t>
  </si>
  <si>
    <t>Mexican Peso</t>
  </si>
  <si>
    <t>MYR</t>
  </si>
  <si>
    <t>Malaysian Ringgit</t>
  </si>
  <si>
    <t>NGN</t>
  </si>
  <si>
    <t>Nigerian Naira</t>
  </si>
  <si>
    <t>NOK</t>
  </si>
  <si>
    <t>Norwegian Krone</t>
  </si>
  <si>
    <t>NZD</t>
  </si>
  <si>
    <t>New Zealand Dollar</t>
  </si>
  <si>
    <t>PHP</t>
  </si>
  <si>
    <t>Philippine Peso</t>
  </si>
  <si>
    <t>PKR</t>
  </si>
  <si>
    <t>Pakistani Rupee</t>
  </si>
  <si>
    <t>PLN</t>
  </si>
  <si>
    <t>Polish Zloty</t>
  </si>
  <si>
    <t>SAR</t>
  </si>
  <si>
    <t>Saudi Riyal</t>
  </si>
  <si>
    <t>SEK</t>
  </si>
  <si>
    <t>Swedish Krona</t>
  </si>
  <si>
    <t>SGD</t>
  </si>
  <si>
    <t>Singapore Dollar</t>
  </si>
  <si>
    <t>THB</t>
  </si>
  <si>
    <t>Thai Baht</t>
  </si>
  <si>
    <t>TRY</t>
  </si>
  <si>
    <t>Turkish Lira</t>
  </si>
  <si>
    <t>UAH</t>
  </si>
  <si>
    <t>Ukrainian hryvnia</t>
  </si>
  <si>
    <t>VEF</t>
  </si>
  <si>
    <t>Venezuelan bolívar fuerte</t>
  </si>
  <si>
    <t>VND</t>
  </si>
  <si>
    <t>Vietnamese đồng</t>
  </si>
  <si>
    <t>ZAR</t>
  </si>
  <si>
    <t>South African Rand</t>
  </si>
  <si>
    <t>XDR</t>
  </si>
  <si>
    <t>IMF Special Drawing Rights</t>
  </si>
  <si>
    <t>Commodities</t>
  </si>
  <si>
    <t>XAG</t>
  </si>
  <si>
    <t>Silver - Troy Ounce</t>
  </si>
  <si>
    <t>XAU</t>
  </si>
  <si>
    <t>Gold - Troy Ounce</t>
  </si>
  <si>
    <t>Crypto API . Request Form . Advertising</t>
  </si>
  <si>
    <t>Portfolio</t>
  </si>
  <si>
    <t>Beam (beta)</t>
  </si>
  <si>
    <t>Price Alert</t>
  </si>
  <si>
    <t>My Candies</t>
  </si>
  <si>
    <t>Rewards</t>
  </si>
  <si>
    <t>Login and Security</t>
  </si>
  <si>
    <t xml:space="preserve">Subscription </t>
  </si>
  <si>
    <t>Sign Out</t>
  </si>
  <si>
    <t>Coins</t>
  </si>
  <si>
    <t>Market Cap Rank Recently Added CategoriesNew Discover Large Movers High Volumes</t>
  </si>
  <si>
    <t>Exchanges</t>
  </si>
  <si>
    <t>Spot DEX Derivatives</t>
  </si>
  <si>
    <t>NFT</t>
  </si>
  <si>
    <t>NFTs &amp; Collectibles New NFT Spotlight NFT Related Coins</t>
  </si>
  <si>
    <t>Publications</t>
  </si>
  <si>
    <t>Crypto Reports Newsletter Podcast Blog</t>
  </si>
  <si>
    <t>Resources</t>
  </si>
  <si>
    <t>Earn Crypto Yield Farming Compare Coins Explore All Coins Bitcoin Halving</t>
  </si>
  <si>
    <t>Products</t>
  </si>
  <si>
    <t>Premium Subscription Mobile App Store</t>
  </si>
  <si>
    <t>Crypto API Widgets Request Form Methodology</t>
  </si>
  <si>
    <t>Community</t>
  </si>
  <si>
    <t xml:space="preserve">Search </t>
  </si>
  <si>
    <t xml:space="preserve">Portfolio Coins Recently Added Large Movers Categories Custom Tabs New </t>
  </si>
  <si>
    <t>Customize Tab</t>
  </si>
  <si>
    <t>My Tab List</t>
  </si>
  <si>
    <t xml:space="preserve">1 Portfolio </t>
  </si>
  <si>
    <t xml:space="preserve">2 Coins </t>
  </si>
  <si>
    <t xml:space="preserve">3 Recently Added </t>
  </si>
  <si>
    <t xml:space="preserve">4 Larger Movers </t>
  </si>
  <si>
    <t xml:space="preserve">5 Categories </t>
  </si>
  <si>
    <t xml:space="preserve">Add Category </t>
  </si>
  <si>
    <t>Smart Contract Platform</t>
  </si>
  <si>
    <t>Exchange-based Tokens</t>
  </si>
  <si>
    <t>Decentralized Finance (DeFi)</t>
  </si>
  <si>
    <t>Stablecoins</t>
  </si>
  <si>
    <t>Binance Smart Chain Ecosystem</t>
  </si>
  <si>
    <t>Centralized Exchange Token (CEX)</t>
  </si>
  <si>
    <t>Solana Ecosystem</t>
  </si>
  <si>
    <t>Polygon Ecosystem</t>
  </si>
  <si>
    <t>Polkadot Ecosystem</t>
  </si>
  <si>
    <t>Governance</t>
  </si>
  <si>
    <t>Meme Tokens</t>
  </si>
  <si>
    <t>Yield Farming</t>
  </si>
  <si>
    <t>Decentralized Exchange Token (DEX)</t>
  </si>
  <si>
    <t>Cosmos Ecosystem</t>
  </si>
  <si>
    <t>Non-Fungible Tokens (NFT)</t>
  </si>
  <si>
    <t>Automated Market Maker (AMM)</t>
  </si>
  <si>
    <t>xDAI Ecosystem</t>
  </si>
  <si>
    <t>Asset-backed Tokens</t>
  </si>
  <si>
    <t>Finance / Banking</t>
  </si>
  <si>
    <t>Storage</t>
  </si>
  <si>
    <t>Internet of Things (IOT)</t>
  </si>
  <si>
    <t>Lending/Borrowing</t>
  </si>
  <si>
    <t>Terra Ecosystem</t>
  </si>
  <si>
    <t>Oracle</t>
  </si>
  <si>
    <t>Privacy Coins</t>
  </si>
  <si>
    <t>Avalanche Ecosystem</t>
  </si>
  <si>
    <t>Gaming</t>
  </si>
  <si>
    <t>Wrapped-Tokens</t>
  </si>
  <si>
    <t>Yearn Ecosystem</t>
  </si>
  <si>
    <t>Analytics</t>
  </si>
  <si>
    <t>Masternodes</t>
  </si>
  <si>
    <t>Eth 2.0 Staking</t>
  </si>
  <si>
    <t>Sports</t>
  </si>
  <si>
    <t>Yield Aggregator</t>
  </si>
  <si>
    <t>Synthetic Issuer</t>
  </si>
  <si>
    <t>Seigniorage</t>
  </si>
  <si>
    <t>Metaverse</t>
  </si>
  <si>
    <t>Perpetuals</t>
  </si>
  <si>
    <t>Insurance</t>
  </si>
  <si>
    <t>Music</t>
  </si>
  <si>
    <t>Synths</t>
  </si>
  <si>
    <t>MEV Protection</t>
  </si>
  <si>
    <t>Prediction Markets</t>
  </si>
  <si>
    <t>Rebase Tokens</t>
  </si>
  <si>
    <t>Gambling</t>
  </si>
  <si>
    <t>DeFi Index</t>
  </si>
  <si>
    <t>Social Money</t>
  </si>
  <si>
    <t>Fan Token</t>
  </si>
  <si>
    <t>Tourism</t>
  </si>
  <si>
    <t>Options</t>
  </si>
  <si>
    <t>Aave Tokens</t>
  </si>
  <si>
    <t xml:space="preserve">Reset All Edit </t>
  </si>
  <si>
    <t xml:space="preserve">Apply Changes </t>
  </si>
  <si>
    <t>Reset Customize Tab</t>
  </si>
  <si>
    <t>Are you sure you want to reset?</t>
  </si>
  <si>
    <t>Reset to default arrangement and removes all added categories. This action cannot be undone.</t>
  </si>
  <si>
    <t xml:space="preserve">No </t>
  </si>
  <si>
    <t xml:space="preserve">Yes </t>
  </si>
  <si>
    <t>Cryptocurrency Prices by Market Cap</t>
  </si>
  <si>
    <t xml:space="preserve">Use setting </t>
  </si>
  <si>
    <t>Show Stats</t>
  </si>
  <si>
    <t>Market Capitalization</t>
  </si>
  <si>
    <t>24h Trading Volume</t>
  </si>
  <si>
    <t>Bitcoin Market Cap Dominance</t>
  </si>
  <si>
    <t># of Coins</t>
  </si>
  <si>
    <t xml:space="preserve">All Categories </t>
  </si>
  <si>
    <t>All</t>
  </si>
  <si>
    <t>Artificial Intelligence</t>
  </si>
  <si>
    <t>Asset Manager</t>
  </si>
  <si>
    <t>Augmented Reality</t>
  </si>
  <si>
    <t>Axie Infinity</t>
  </si>
  <si>
    <t>Big Data</t>
  </si>
  <si>
    <t>Binance Launchpool</t>
  </si>
  <si>
    <t>Business Platform</t>
  </si>
  <si>
    <t>Business Services</t>
  </si>
  <si>
    <t>Charity</t>
  </si>
  <si>
    <t>CNY Stablecoin</t>
  </si>
  <si>
    <t>Collectibles</t>
  </si>
  <si>
    <t>Communication</t>
  </si>
  <si>
    <t>Compound Tokens</t>
  </si>
  <si>
    <t>Cryptocurrency</t>
  </si>
  <si>
    <t>DaoMaker Ecosystem</t>
  </si>
  <si>
    <t>Education</t>
  </si>
  <si>
    <t>Energy</t>
  </si>
  <si>
    <t>Entertainment</t>
  </si>
  <si>
    <t>ETF</t>
  </si>
  <si>
    <t>EUR Stablecoin</t>
  </si>
  <si>
    <t>Fantom Ecosystem</t>
  </si>
  <si>
    <t>GBP Stablecoin</t>
  </si>
  <si>
    <t>Gig Economy</t>
  </si>
  <si>
    <t>Healthcare</t>
  </si>
  <si>
    <t>HECO Chain Ecosystem</t>
  </si>
  <si>
    <t>Index</t>
  </si>
  <si>
    <t>Infrastructure</t>
  </si>
  <si>
    <t>Investment</t>
  </si>
  <si>
    <t>KRW Stablecoin</t>
  </si>
  <si>
    <t>Launchpad</t>
  </si>
  <si>
    <t>Legal</t>
  </si>
  <si>
    <t>Leveraged Token</t>
  </si>
  <si>
    <t>LP Tokens</t>
  </si>
  <si>
    <t>Manufacturing</t>
  </si>
  <si>
    <t>Marketing</t>
  </si>
  <si>
    <t>Media</t>
  </si>
  <si>
    <t>Mirrored Assets</t>
  </si>
  <si>
    <t>Near Protocol Ecosystem</t>
  </si>
  <si>
    <t>NFT Index</t>
  </si>
  <si>
    <t>Niftex Shards</t>
  </si>
  <si>
    <t>Number</t>
  </si>
  <si>
    <t>Other</t>
  </si>
  <si>
    <t>Play To Earn</t>
  </si>
  <si>
    <t>Protocol</t>
  </si>
  <si>
    <t>Real Estate</t>
  </si>
  <si>
    <t>RealT Tokens</t>
  </si>
  <si>
    <t>Reddit Points</t>
  </si>
  <si>
    <t>Remittance</t>
  </si>
  <si>
    <t>Retail</t>
  </si>
  <si>
    <t>Software</t>
  </si>
  <si>
    <t>Technology &amp; Science</t>
  </si>
  <si>
    <t>Tokenized BTC</t>
  </si>
  <si>
    <t>Tokenized Gold</t>
  </si>
  <si>
    <t>Tokenized Products</t>
  </si>
  <si>
    <t>TokenSets</t>
  </si>
  <si>
    <t>USD Stablecoin</t>
  </si>
  <si>
    <t>US Election 2020</t>
  </si>
  <si>
    <t>uTokens</t>
  </si>
  <si>
    <t>Virtual Reality</t>
  </si>
  <si>
    <t>Wallets</t>
  </si>
  <si>
    <t>Filter</t>
  </si>
  <si>
    <t>×</t>
  </si>
  <si>
    <t>Add Transaction</t>
  </si>
  <si>
    <t>Buy</t>
  </si>
  <si>
    <t>Sell</t>
  </si>
  <si>
    <t>Transfer</t>
  </si>
  <si>
    <t>Price Per Coin</t>
  </si>
  <si>
    <t xml:space="preserve">Total Spent </t>
  </si>
  <si>
    <t>Total Spent</t>
  </si>
  <si>
    <t>Date</t>
  </si>
  <si>
    <t>Fees</t>
  </si>
  <si>
    <t>Notes</t>
  </si>
  <si>
    <t xml:space="preserve">+ Fee &amp; Notes (Optional) </t>
  </si>
  <si>
    <t>Cancel</t>
  </si>
  <si>
    <t>New Portfolio</t>
  </si>
  <si>
    <t>Cancel Create</t>
  </si>
  <si>
    <t>Remove Coin</t>
  </si>
  <si>
    <t>Are you sure want to remove this coin?</t>
  </si>
  <si>
    <t>Any transactions associated with this coin will also be removed.</t>
  </si>
  <si>
    <t>No Yes</t>
  </si>
  <si>
    <t>#</t>
  </si>
  <si>
    <t>1h</t>
  </si>
  <si>
    <t>24h</t>
  </si>
  <si>
    <t>7d</t>
  </si>
  <si>
    <t>24h Volume</t>
  </si>
  <si>
    <t>Mkt Cap</t>
  </si>
  <si>
    <t>Last 7 Days</t>
  </si>
  <si>
    <t>bitcoin (BTC)</t>
  </si>
  <si>
    <t xml:space="preserve">Bitcoin BTC BTC </t>
  </si>
  <si>
    <t>bitcoin (BTC) 7d chart</t>
  </si>
  <si>
    <t>ethereum (ETH)</t>
  </si>
  <si>
    <t xml:space="preserve">Ethereum ETH ETH </t>
  </si>
  <si>
    <t>ethereum (ETH) 7d chart</t>
  </si>
  <si>
    <t>cardano (ADA)</t>
  </si>
  <si>
    <t xml:space="preserve">Cardano ADA ADA </t>
  </si>
  <si>
    <t>cardano (ADA) 7d chart</t>
  </si>
  <si>
    <t>binance coin (BNB)</t>
  </si>
  <si>
    <t xml:space="preserve">Binance Coin BNB BNB </t>
  </si>
  <si>
    <t>binance coin (BNB) 7d chart</t>
  </si>
  <si>
    <t>tether (USDT)</t>
  </si>
  <si>
    <t xml:space="preserve">Tether USDT USDT </t>
  </si>
  <si>
    <t>tether (USDT) 7d chart</t>
  </si>
  <si>
    <t>xrp (XRP)</t>
  </si>
  <si>
    <t xml:space="preserve">XRP XRP XRP </t>
  </si>
  <si>
    <t>xrp (XRP) 7d chart</t>
  </si>
  <si>
    <t>solana (SOL)</t>
  </si>
  <si>
    <t xml:space="preserve">Solana SOL SOL </t>
  </si>
  <si>
    <t>solana (SOL) 7d chart</t>
  </si>
  <si>
    <t>dogecoin (DOGE)</t>
  </si>
  <si>
    <t xml:space="preserve">Dogecoin DOGE DOGE </t>
  </si>
  <si>
    <t>dogecoin (DOGE) 7d chart</t>
  </si>
  <si>
    <t>polkadot (DOT)</t>
  </si>
  <si>
    <t xml:space="preserve">Polkadot DOT DOT </t>
  </si>
  <si>
    <t>polkadot (DOT) 7d chart</t>
  </si>
  <si>
    <t>usd coin (USDC)</t>
  </si>
  <si>
    <t xml:space="preserve">USD Coin USDC USDC </t>
  </si>
  <si>
    <t>usd coin (USDC) 7d chart</t>
  </si>
  <si>
    <t>uniswap (UNI)</t>
  </si>
  <si>
    <t xml:space="preserve">Uniswap UNI UNI </t>
  </si>
  <si>
    <t>uniswap (UNI) 7d chart</t>
  </si>
  <si>
    <t>litecoin (LTC)</t>
  </si>
  <si>
    <t xml:space="preserve">Litecoin LTC LTC </t>
  </si>
  <si>
    <t>litecoin (LTC) 7d chart</t>
  </si>
  <si>
    <t>chainlink (LINK)</t>
  </si>
  <si>
    <t xml:space="preserve">Chainlink LINK LINK </t>
  </si>
  <si>
    <t>chainlink (LINK) 7d chart</t>
  </si>
  <si>
    <t>bitcoin cash (BCH)</t>
  </si>
  <si>
    <t xml:space="preserve">Bitcoin Cash BCH BCH </t>
  </si>
  <si>
    <t>bitcoin cash (BCH) 7d chart</t>
  </si>
  <si>
    <t>terra (LUNA)</t>
  </si>
  <si>
    <t xml:space="preserve">Terra LUNA LUNA </t>
  </si>
  <si>
    <t>terra (LUNA) 7d chart</t>
  </si>
  <si>
    <t>binance usd (BUSD)</t>
  </si>
  <si>
    <t xml:space="preserve">Binance USD BUSD BUSD </t>
  </si>
  <si>
    <t>binance usd (BUSD) 7d chart</t>
  </si>
  <si>
    <t>internet computer (ICP)</t>
  </si>
  <si>
    <t xml:space="preserve">Internet Computer ICP ICP </t>
  </si>
  <si>
    <t>internet computer (ICP) 7d chart</t>
  </si>
  <si>
    <t>polygon (MATIC)</t>
  </si>
  <si>
    <t xml:space="preserve">Polygon MATIC MATIC </t>
  </si>
  <si>
    <t>polygon (MATIC) 7d chart</t>
  </si>
  <si>
    <t>avalanche (AVAX)</t>
  </si>
  <si>
    <t xml:space="preserve">Avalanche AVAX AVAX </t>
  </si>
  <si>
    <t>avalanche (AVAX) 7d chart</t>
  </si>
  <si>
    <t>wrapped bitcoin (WBTC)</t>
  </si>
  <si>
    <t xml:space="preserve">Wrapped Bitcoin WBTC WBTC </t>
  </si>
  <si>
    <t>wrapped bitcoin (WBTC) 7d chart</t>
  </si>
  <si>
    <t>vechain (VET)</t>
  </si>
  <si>
    <t xml:space="preserve">VeChain VET VET </t>
  </si>
  <si>
    <t>vechain (VET) 7d chart</t>
  </si>
  <si>
    <t>filecoin (FIL)</t>
  </si>
  <si>
    <t xml:space="preserve">Filecoin FIL FIL </t>
  </si>
  <si>
    <t>filecoin (FIL) 7d chart</t>
  </si>
  <si>
    <t>ethereum classic (ETC)</t>
  </si>
  <si>
    <t xml:space="preserve">Ethereum Classic ETC ETC </t>
  </si>
  <si>
    <t>ethereum classic (ETC) 7d chart</t>
  </si>
  <si>
    <t>stellar (XLM)</t>
  </si>
  <si>
    <t xml:space="preserve">Stellar XLM XLM </t>
  </si>
  <si>
    <t>stellar (XLM) 7d chart</t>
  </si>
  <si>
    <t>theta network (THETA)</t>
  </si>
  <si>
    <t xml:space="preserve">Theta Network THETA THETA </t>
  </si>
  <si>
    <t>theta network (THETA) 7d chart</t>
  </si>
  <si>
    <t>ceth (CETH)</t>
  </si>
  <si>
    <t xml:space="preserve">cETH CETH CETH </t>
  </si>
  <si>
    <t>ceth (CETH) 7d chart</t>
  </si>
  <si>
    <t>tron (TRX)</t>
  </si>
  <si>
    <t xml:space="preserve">TRON TRX TRX </t>
  </si>
  <si>
    <t>tron (TRX) 7d chart</t>
  </si>
  <si>
    <t>cosmos (ATOM)</t>
  </si>
  <si>
    <t xml:space="preserve">Cosmos ATOM ATOM </t>
  </si>
  <si>
    <t>cosmos (ATOM) 7d chart</t>
  </si>
  <si>
    <t>ftx token (FTT)</t>
  </si>
  <si>
    <t xml:space="preserve">FTX Token FTT FTT </t>
  </si>
  <si>
    <t>ftx token (FTT) 7d chart</t>
  </si>
  <si>
    <t>okb (OKB)</t>
  </si>
  <si>
    <t xml:space="preserve">OKB OKB OKB </t>
  </si>
  <si>
    <t>okb (OKB) 7d chart</t>
  </si>
  <si>
    <t>dai (DAI)</t>
  </si>
  <si>
    <t xml:space="preserve">Dai DAI DAI </t>
  </si>
  <si>
    <t>dai (DAI) 7d chart</t>
  </si>
  <si>
    <t>bitcoin cash abc (BCHA)</t>
  </si>
  <si>
    <t xml:space="preserve">Bitcoin Cash ABC BCHA BCHA </t>
  </si>
  <si>
    <t>bitcoin cash abc (BCHA) 7d chart</t>
  </si>
  <si>
    <t>aave (AAVE)</t>
  </si>
  <si>
    <t xml:space="preserve">Aave AAVE AAVE </t>
  </si>
  <si>
    <t>aave (AAVE) 7d chart</t>
  </si>
  <si>
    <t>eos (EOS)</t>
  </si>
  <si>
    <t xml:space="preserve">EOS EOS EOS </t>
  </si>
  <si>
    <t>eos (EOS) 7d chart</t>
  </si>
  <si>
    <t>monero (XMR)</t>
  </si>
  <si>
    <t xml:space="preserve">Monero XMR XMR </t>
  </si>
  <si>
    <t>monero (XMR) 7d chart</t>
  </si>
  <si>
    <t>pancakeswap (CAKE)</t>
  </si>
  <si>
    <t xml:space="preserve">PancakeSwap CAKE CAKE </t>
  </si>
  <si>
    <t>pancakeswap (CAKE) 7d chart</t>
  </si>
  <si>
    <t>cusdc (CUSDC)</t>
  </si>
  <si>
    <t xml:space="preserve">cUSDC CUSDC CUSDC </t>
  </si>
  <si>
    <t>cusdc (CUSDC) 7d chart</t>
  </si>
  <si>
    <t>iota (MIOTA)</t>
  </si>
  <si>
    <t xml:space="preserve">IOTA MIOTA MIOTA </t>
  </si>
  <si>
    <t>iota (MIOTA) 7d chart</t>
  </si>
  <si>
    <t>the graph (GRT)</t>
  </si>
  <si>
    <t xml:space="preserve">The Graph GRT GRT </t>
  </si>
  <si>
    <t>the graph (GRT) 7d chart</t>
  </si>
  <si>
    <t>axie infinity (AXS)</t>
  </si>
  <si>
    <t xml:space="preserve">Axie Infinity AXS AXS </t>
  </si>
  <si>
    <t>axie infinity (AXS) 7d chart</t>
  </si>
  <si>
    <t>lido staked ether (STETH)</t>
  </si>
  <si>
    <t xml:space="preserve">Lido Staked Ether STETH STETH </t>
  </si>
  <si>
    <t>lido staked ether (STETH) 7d chart</t>
  </si>
  <si>
    <t>cdai (CDAI)</t>
  </si>
  <si>
    <t xml:space="preserve">cDAI CDAI CDAI </t>
  </si>
  <si>
    <t>cdai (CDAI) 7d chart</t>
  </si>
  <si>
    <t>crypto.com coin (CRO)</t>
  </si>
  <si>
    <t xml:space="preserve">Crypto.com Coin CRO CRO </t>
  </si>
  <si>
    <t>crypto.com coin (CRO) 7d chart</t>
  </si>
  <si>
    <t>tezos (XTZ)</t>
  </si>
  <si>
    <t xml:space="preserve">Tezos XTZ XTZ </t>
  </si>
  <si>
    <t>tezos (XTZ) 7d chart</t>
  </si>
  <si>
    <t>algorand (ALGO)</t>
  </si>
  <si>
    <t xml:space="preserve">Algorand ALGO ALGO </t>
  </si>
  <si>
    <t>algorand (ALGO) 7d chart</t>
  </si>
  <si>
    <t>neo (NEO)</t>
  </si>
  <si>
    <t xml:space="preserve">NEO NEO NEO </t>
  </si>
  <si>
    <t>neo (NEO) 7d chart</t>
  </si>
  <si>
    <t>klaytn (KLAY)</t>
  </si>
  <si>
    <t xml:space="preserve">Klaytn KLAY KLAY </t>
  </si>
  <si>
    <t>klaytn (KLAY) 7d chart</t>
  </si>
  <si>
    <t>shiba inu (SHIB)</t>
  </si>
  <si>
    <t xml:space="preserve">Shiba Inu SHIB SHIB </t>
  </si>
  <si>
    <t>shiba inu (SHIB) 7d chart</t>
  </si>
  <si>
    <t>kusama (KSM)</t>
  </si>
  <si>
    <t xml:space="preserve">Kusama KSM KSM </t>
  </si>
  <si>
    <t>kusama (KSM) 7d chart</t>
  </si>
  <si>
    <t>bitcoin sv (BSV)</t>
  </si>
  <si>
    <t xml:space="preserve">Bitcoin SV BSV BSV </t>
  </si>
  <si>
    <t>bitcoin sv (BSV) 7d chart</t>
  </si>
  <si>
    <t>elrond (EGLD)</t>
  </si>
  <si>
    <t xml:space="preserve">Elrond EGLD EGLD </t>
  </si>
  <si>
    <t>elrond (EGLD) 7d chart</t>
  </si>
  <si>
    <t>maker (MKR)</t>
  </si>
  <si>
    <t xml:space="preserve">Maker MKR MKR </t>
  </si>
  <si>
    <t>maker (MKR) 7d chart</t>
  </si>
  <si>
    <t>quant (QNT)</t>
  </si>
  <si>
    <t xml:space="preserve">Quant QNT QNT </t>
  </si>
  <si>
    <t>quant (QNT) 7d chart</t>
  </si>
  <si>
    <t>bittorrent (BTT)</t>
  </si>
  <si>
    <t xml:space="preserve">BitTorrent BTT BTT </t>
  </si>
  <si>
    <t>bittorrent (BTT) 7d chart</t>
  </si>
  <si>
    <t>waves (WAVES)</t>
  </si>
  <si>
    <t xml:space="preserve">Waves WAVES WAVES </t>
  </si>
  <si>
    <t>waves (WAVES) 7d chart</t>
  </si>
  <si>
    <t>hedera hashgraph (HBAR)</t>
  </si>
  <si>
    <t xml:space="preserve">Hedera Hashgraph HBAR HBAR </t>
  </si>
  <si>
    <t>hedera hashgraph (HBAR) 7d chart</t>
  </si>
  <si>
    <t>fantom (FTM)</t>
  </si>
  <si>
    <t xml:space="preserve">Fantom FTM FTM </t>
  </si>
  <si>
    <t>fantom (FTM) 7d chart</t>
  </si>
  <si>
    <t>leo token (LEO)</t>
  </si>
  <si>
    <t xml:space="preserve">LEO Token LEO LEO </t>
  </si>
  <si>
    <t>leo token (LEO) 7d chart</t>
  </si>
  <si>
    <t>thorchain (RUNE)</t>
  </si>
  <si>
    <t xml:space="preserve">THORChain RUNE RUNE </t>
  </si>
  <si>
    <t>thorchain (RUNE) 7d chart</t>
  </si>
  <si>
    <t>compound (COMP)</t>
  </si>
  <si>
    <t xml:space="preserve">Compound COMP COMP </t>
  </si>
  <si>
    <t>compound (COMP) 7d chart</t>
  </si>
  <si>
    <t>near (NEAR)</t>
  </si>
  <si>
    <t xml:space="preserve">Near NEAR NEAR </t>
  </si>
  <si>
    <t>near (NEAR) 7d chart</t>
  </si>
  <si>
    <t>celsius network (CEL)</t>
  </si>
  <si>
    <t xml:space="preserve">Celsius Network CEL CEL </t>
  </si>
  <si>
    <t>celsius network (CEL) 7d chart</t>
  </si>
  <si>
    <t>sushi (SUSHI)</t>
  </si>
  <si>
    <t xml:space="preserve">Sushi SUSHI SUSHI </t>
  </si>
  <si>
    <t>sushi (SUSHI) 7d chart</t>
  </si>
  <si>
    <t>amp (AMP)</t>
  </si>
  <si>
    <t xml:space="preserve">Amp AMP AMP </t>
  </si>
  <si>
    <t>amp (AMP) 7d chart</t>
  </si>
  <si>
    <t>dash (DASH)</t>
  </si>
  <si>
    <t xml:space="preserve">Dash DASH DASH </t>
  </si>
  <si>
    <t>dash (DASH) 7d chart</t>
  </si>
  <si>
    <t>huobi token (HT)</t>
  </si>
  <si>
    <t xml:space="preserve">Huobi Token HT HT </t>
  </si>
  <si>
    <t>huobi token (HT) 7d chart</t>
  </si>
  <si>
    <t>terrausd (UST)</t>
  </si>
  <si>
    <t xml:space="preserve">TerraUSD UST UST </t>
  </si>
  <si>
    <t>terrausd (UST) 7d chart</t>
  </si>
  <si>
    <t>arweave (AR)</t>
  </si>
  <si>
    <t xml:space="preserve">Arweave AR AR </t>
  </si>
  <si>
    <t>arweave (AR) 7d chart</t>
  </si>
  <si>
    <t>decred (DCR)</t>
  </si>
  <si>
    <t xml:space="preserve">Decred DCR DCR </t>
  </si>
  <si>
    <t>decred (DCR) 7d chart</t>
  </si>
  <si>
    <t>helium (HNT)</t>
  </si>
  <si>
    <t xml:space="preserve">Helium HNT HNT </t>
  </si>
  <si>
    <t>helium (HNT) 7d chart</t>
  </si>
  <si>
    <t>synthetix network token (SNX)</t>
  </si>
  <si>
    <t xml:space="preserve">Synthetix Network Token SNX SNX </t>
  </si>
  <si>
    <t>synthetix network token (SNX) 7d chart</t>
  </si>
  <si>
    <t>chiliz (CHZ)</t>
  </si>
  <si>
    <t xml:space="preserve">Chiliz CHZ CHZ </t>
  </si>
  <si>
    <t>chiliz (CHZ) 7d chart</t>
  </si>
  <si>
    <t>holo (HOT)</t>
  </si>
  <si>
    <t xml:space="preserve">Holo HOT HOT </t>
  </si>
  <si>
    <t>holo (HOT) 7d chart</t>
  </si>
  <si>
    <t>nem (XEM)</t>
  </si>
  <si>
    <t xml:space="preserve">NEM XEM XEM </t>
  </si>
  <si>
    <t>nem (XEM) 7d chart</t>
  </si>
  <si>
    <t>theta fuel (TFUEL)</t>
  </si>
  <si>
    <t xml:space="preserve">Theta Fuel TFUEL TFUEL </t>
  </si>
  <si>
    <t>theta fuel (TFUEL) 7d chart</t>
  </si>
  <si>
    <t>huobi btc (HBTC)</t>
  </si>
  <si>
    <t xml:space="preserve">Huobi BTC HBTC HBTC </t>
  </si>
  <si>
    <t>huobi btc (HBTC) 7d chart</t>
  </si>
  <si>
    <t>enjin coin (ENJ)</t>
  </si>
  <si>
    <t xml:space="preserve">Enjin Coin ENJ ENJ </t>
  </si>
  <si>
    <t>enjin coin (ENJ) 7d chart</t>
  </si>
  <si>
    <t>zcash (ZEC)</t>
  </si>
  <si>
    <t xml:space="preserve">Zcash ZEC ZEC </t>
  </si>
  <si>
    <t>zcash (ZEC) 7d chart</t>
  </si>
  <si>
    <t>stacks (STX)</t>
  </si>
  <si>
    <t xml:space="preserve">Stacks STX STX </t>
  </si>
  <si>
    <t>stacks (STX) 7d chart</t>
  </si>
  <si>
    <t>xdc network (XDC)</t>
  </si>
  <si>
    <t xml:space="preserve">XDC Network XDC XDC </t>
  </si>
  <si>
    <t>xdc network (XDC) 7d chart</t>
  </si>
  <si>
    <t>zilliqa (ZIL)</t>
  </si>
  <si>
    <t xml:space="preserve">Zilliqa ZIL ZIL </t>
  </si>
  <si>
    <t>zilliqa (ZIL) 7d chart</t>
  </si>
  <si>
    <t>flow (FLOW)</t>
  </si>
  <si>
    <t xml:space="preserve">Flow FLOW FLOW </t>
  </si>
  <si>
    <t>flow (FLOW) 7d chart</t>
  </si>
  <si>
    <t>yearn.finance (YFI)</t>
  </si>
  <si>
    <t xml:space="preserve">yearn.finance YFI YFI </t>
  </si>
  <si>
    <t>yearn.finance (YFI) 7d chart</t>
  </si>
  <si>
    <t>qtum (QTUM)</t>
  </si>
  <si>
    <t xml:space="preserve">Qtum QTUM QTUM </t>
  </si>
  <si>
    <t>qtum (QTUM) 7d chart</t>
  </si>
  <si>
    <t>iost (IOST)</t>
  </si>
  <si>
    <t xml:space="preserve">IOST IOST IOST </t>
  </si>
  <si>
    <t>iost (IOST) 7d chart</t>
  </si>
  <si>
    <t>ravencoin (RVN)</t>
  </si>
  <si>
    <t xml:space="preserve">Ravencoin RVN RVN </t>
  </si>
  <si>
    <t>ravencoin (RVN) 7d chart</t>
  </si>
  <si>
    <t>bitcoin gold (BTG)</t>
  </si>
  <si>
    <t xml:space="preserve">Bitcoin Gold BTG BTG </t>
  </si>
  <si>
    <t>bitcoin gold (BTG) 7d chart</t>
  </si>
  <si>
    <t>basic attention token (BAT)</t>
  </si>
  <si>
    <t xml:space="preserve">Basic Attention Token BAT BAT </t>
  </si>
  <si>
    <t>basic attention token (BAT) 7d chart</t>
  </si>
  <si>
    <t>trueusd (TUSD)</t>
  </si>
  <si>
    <t xml:space="preserve">TrueUSD TUSD TUSD </t>
  </si>
  <si>
    <t>trueusd (TUSD) 7d chart</t>
  </si>
  <si>
    <t>decentraland (MANA)</t>
  </si>
  <si>
    <t xml:space="preserve">Decentraland MANA MANA </t>
  </si>
  <si>
    <t>decentraland (MANA) 7d chart</t>
  </si>
  <si>
    <t>harmony (ONE)</t>
  </si>
  <si>
    <t xml:space="preserve">Harmony ONE ONE </t>
  </si>
  <si>
    <t>harmony (ONE) 7d chart</t>
  </si>
  <si>
    <t>safemoon (SAFEMOON)</t>
  </si>
  <si>
    <t xml:space="preserve">SafeMoon SAFEMOON SAFEMOON </t>
  </si>
  <si>
    <t>safemoon (SAFEMOON) 7d chart</t>
  </si>
  <si>
    <t>telcoin (TEL)</t>
  </si>
  <si>
    <t xml:space="preserve">Telcoin TEL TEL </t>
  </si>
  <si>
    <t>telcoin (TEL) 7d chart</t>
  </si>
  <si>
    <t>xsushi (XSUSHI)</t>
  </si>
  <si>
    <t xml:space="preserve">xSUSHI XSUSHI XSUSHI </t>
  </si>
  <si>
    <t>xsushi (XSUSHI) 7d chart</t>
  </si>
  <si>
    <t>horizen (ZEN)</t>
  </si>
  <si>
    <t xml:space="preserve">Horizen ZEN ZEN </t>
  </si>
  <si>
    <t>horizen (ZEN) 7d chart</t>
  </si>
  <si>
    <t>siacoin (SC)</t>
  </si>
  <si>
    <t xml:space="preserve">Siacoin SC SC </t>
  </si>
  <si>
    <t>siacoin (SC) 7d chart</t>
  </si>
  <si>
    <t>mdex (MDX)</t>
  </si>
  <si>
    <t xml:space="preserve">Mdex MDX MDX </t>
  </si>
  <si>
    <t>mdex (MDX) 7d chart</t>
  </si>
  <si>
    <t>audius (AUDIO)</t>
  </si>
  <si>
    <t xml:space="preserve">Audius AUDIO AUDIO </t>
  </si>
  <si>
    <t>audius (AUDIO) 7d chart</t>
  </si>
  <si>
    <t>icon (ICX)</t>
  </si>
  <si>
    <t xml:space="preserve">ICON ICX ICX </t>
  </si>
  <si>
    <t>icon (ICX) 7d chart</t>
  </si>
  <si>
    <t>nexo (NEXO)</t>
  </si>
  <si>
    <t xml:space="preserve">NEXO NEXO NEXO </t>
  </si>
  <si>
    <t>nexo (NEXO) 7d chart</t>
  </si>
  <si>
    <t>‹ Prev</t>
  </si>
  <si>
    <t>…</t>
  </si>
  <si>
    <t>Next ›</t>
  </si>
  <si>
    <t>Trending Coins</t>
  </si>
  <si>
    <t>More Coins</t>
  </si>
  <si>
    <t>Top Categories</t>
  </si>
  <si>
    <t>Recently Added</t>
  </si>
  <si>
    <t>What is cryptocurrency market cap?</t>
  </si>
  <si>
    <t>Market cap is one of the most popular metric in the industry that is used to gauge the value of an asset. The market cap of a cryptocurrency is calculated based on the coin's total circulating supply multipled by the current price. For detailed examples on how that works, check out the methodology page.</t>
  </si>
  <si>
    <t>How can I use market cap?</t>
  </si>
  <si>
    <t>As a financial metric, market cap allows you to compare the total value of one cryptocurrency with another. Large-cap cryptocurrencies such as Bitcoin and Ethereum have a market cap of over $10 billion. They typically consists of projects that have demonstrated track record, have higher liquidity across exchanges, and less volatile when compared against mid and small cap cryptocurrencies.</t>
  </si>
  <si>
    <t>While market cap is a simple and intuitive comparison metric, it does have its major drawbacks. Some cryptocurrency projects may appear to have inflated market cap through price swings and the tokenomics of their supply. As such, it is best to use this metric as a reference alongside other metrics such as trading volume, liquidity, fully diluted valuation, and fundamental during your research process.</t>
  </si>
  <si>
    <t>Is it possible to check crypto prices on mobile?</t>
  </si>
  <si>
    <t>Yes, you can check crypto prices on mobile by using the CoinGecko app on iOS and Android.</t>
  </si>
  <si>
    <t>Log in</t>
  </si>
  <si>
    <t>Email</t>
  </si>
  <si>
    <t>Password</t>
  </si>
  <si>
    <t>Remember me</t>
  </si>
  <si>
    <t>Forgot your password?</t>
  </si>
  <si>
    <t xml:space="preserve">Don't have an account? Sign up </t>
  </si>
  <si>
    <t>Didn't receive confirmation instructions? Resend confirmation instructions</t>
  </si>
  <si>
    <t>Send me reset password instructions</t>
  </si>
  <si>
    <t>You will receive an email with instructions on how to reset your password in a few minutes.</t>
  </si>
  <si>
    <t xml:space="preserve">Back to Sign In </t>
  </si>
  <si>
    <t>Resend Confirmation Email</t>
  </si>
  <si>
    <t>You will receive an email with instructions for how to confirm your email address in a few minutes.</t>
  </si>
  <si>
    <t xml:space="preserve">Sign Up To Continue </t>
  </si>
  <si>
    <t>Security Tip: Do not reuse passwords that you have used in other apps or websites.</t>
  </si>
  <si>
    <t>I agree to CoinGecko's Terms of Service and Privacy Policy.</t>
  </si>
  <si>
    <t>I would like to subscribe to CoinGecko's daily newsletter.</t>
  </si>
  <si>
    <t>Already have an account? Login</t>
  </si>
  <si>
    <t>Didn't receive confirmation instructions?</t>
  </si>
  <si>
    <t>IMPORTANT DISCLAIMER: All content provided herein our website, hyperlinked sites, associated applications, forums, blogs, social media accounts and other platforms (“Site”) is for your general information only, procured from third party sources. We make no warranties of any kind in relation to our content, including but not limited to accuracy and updatedness. No part of the content that we provide constitutes financial advice, legal advice or any other form of advice meant for your specific reliance for any purpose. Any use or reliance on our content is solely at your own risk and discretion. You should conduct your own research, review, analyse and verify our content before relying on them. Trading is a highly risky activity that can lead to major losses, please therefore consult your financial advisor before making any decision. No content on our Site is meant to be a solicitation or offer.</t>
  </si>
  <si>
    <t>© 2021 CoinGecko. All Rights Reserved.</t>
  </si>
  <si>
    <t>Donations</t>
  </si>
  <si>
    <t>× Donate Bitcoin</t>
  </si>
  <si>
    <t>bitcoin_address.png</t>
  </si>
  <si>
    <t>Donation Address</t>
  </si>
  <si>
    <t>× Donate Ethereum</t>
  </si>
  <si>
    <t>ethereum_address.png</t>
  </si>
  <si>
    <t>Interested to stay up-to-date with cryptocurrencies?</t>
  </si>
  <si>
    <t>Get the latest crypto news, updates, and reports by subscribing to our free newsletter.</t>
  </si>
  <si>
    <t>Download our app now</t>
  </si>
  <si>
    <t>Google Play Store ButtonApple App Store Button</t>
  </si>
  <si>
    <t>Disclaimer • Terms of Service • Privacy Policy</t>
  </si>
  <si>
    <t>coingecko (thumbnail mini)</t>
  </si>
  <si>
    <t>CoinGecko for iOS</t>
  </si>
  <si>
    <t>Install</t>
  </si>
  <si>
    <t>CoinGecko for Android</t>
  </si>
  <si>
    <t xml:space="preserve">This website uses cookies for functionality, analytics and advertising purposes as described in our Privacy Policy. If you agree to our use of cookies, please continue to use our site. </t>
  </si>
  <si>
    <t>OK</t>
  </si>
  <si>
    <t>ontology (ONT)</t>
  </si>
  <si>
    <t xml:space="preserve">Ontology ONT ONT </t>
  </si>
  <si>
    <t>ontology (ONT) 7d chart</t>
  </si>
  <si>
    <t>kucoin token (KCS)</t>
  </si>
  <si>
    <t xml:space="preserve">KuCoin Token KCS KCS </t>
  </si>
  <si>
    <t>kucoin token (KCS) 7d chart</t>
  </si>
  <si>
    <t>bancor network token (BNT)</t>
  </si>
  <si>
    <t xml:space="preserve">Bancor Network Token BNT BNT </t>
  </si>
  <si>
    <t>bancor network token (BNT) 7d chart</t>
  </si>
  <si>
    <t>0x (ZRX)</t>
  </si>
  <si>
    <t xml:space="preserve">0x ZRX ZRX </t>
  </si>
  <si>
    <t>0x (ZRX) 7d chart</t>
  </si>
  <si>
    <t>omg network (OMG)</t>
  </si>
  <si>
    <t xml:space="preserve">OMG Network OMG OMG </t>
  </si>
  <si>
    <t>omg network (OMG) 7d chart</t>
  </si>
  <si>
    <t>link (LN)</t>
  </si>
  <si>
    <t xml:space="preserve">LINK LN LN </t>
  </si>
  <si>
    <t>link (LN) 7d chart</t>
  </si>
  <si>
    <t>nexus mutual (NXM)</t>
  </si>
  <si>
    <t xml:space="preserve">Nexus Mutual NXM NXM </t>
  </si>
  <si>
    <t>nexus mutual (NXM) 7d chart</t>
  </si>
  <si>
    <t>digibyte (DGB)</t>
  </si>
  <si>
    <t xml:space="preserve">DigiByte DGB DGB </t>
  </si>
  <si>
    <t>digibyte (DGB) 7d chart</t>
  </si>
  <si>
    <t>curve dao token (CRV)</t>
  </si>
  <si>
    <t xml:space="preserve">Curve DAO Token CRV CRV </t>
  </si>
  <si>
    <t>curve dao token (CRV) 7d chart</t>
  </si>
  <si>
    <t>ecomi (OMI)</t>
  </si>
  <si>
    <t xml:space="preserve">ECOMI OMI OMI </t>
  </si>
  <si>
    <t>ecomi (OMI) 7d chart</t>
  </si>
  <si>
    <t>pax dollar (USDP)</t>
  </si>
  <si>
    <t xml:space="preserve">Pax Dollar USDP USDP </t>
  </si>
  <si>
    <t>pax dollar (USDP) 7d chart</t>
  </si>
  <si>
    <t>ankr (ANKR)</t>
  </si>
  <si>
    <t xml:space="preserve">Ankr ANKR ANKR </t>
  </si>
  <si>
    <t>ankr (ANKR) 7d chart</t>
  </si>
  <si>
    <t>nano (NANO)</t>
  </si>
  <si>
    <t xml:space="preserve">Nano NANO NANO </t>
  </si>
  <si>
    <t>nano (NANO) 7d chart</t>
  </si>
  <si>
    <t>uma (UMA)</t>
  </si>
  <si>
    <t xml:space="preserve">UMA UMA UMA </t>
  </si>
  <si>
    <t>uma (UMA) 7d chart</t>
  </si>
  <si>
    <t>the sandbox (SAND)</t>
  </si>
  <si>
    <t xml:space="preserve">The Sandbox SAND SAND </t>
  </si>
  <si>
    <t>the sandbox (SAND) 7d chart</t>
  </si>
  <si>
    <t>perpetual protocol (PERP)</t>
  </si>
  <si>
    <t xml:space="preserve">Perpetual Protocol PERP PERP </t>
  </si>
  <si>
    <t>perpetual protocol (PERP) 7d chart</t>
  </si>
  <si>
    <t>raydium (RAY)</t>
  </si>
  <si>
    <t xml:space="preserve">Raydium RAY RAY </t>
  </si>
  <si>
    <t>raydium (RAY) 7d chart</t>
  </si>
  <si>
    <t>iotex (IOTX)</t>
  </si>
  <si>
    <t xml:space="preserve">IoTeX IOTX IOTX </t>
  </si>
  <si>
    <t>iotex (IOTX) 7d chart</t>
  </si>
  <si>
    <t>coin98 (C98)</t>
  </si>
  <si>
    <t xml:space="preserve">Coin98 C98 C98 </t>
  </si>
  <si>
    <t>coin98 (C98) 7d chart</t>
  </si>
  <si>
    <t>constellation (DAG)</t>
  </si>
  <si>
    <t xml:space="preserve">Constellation DAG DAG </t>
  </si>
  <si>
    <t>constellation (DAG) 7d chart</t>
  </si>
  <si>
    <t>mina protocol (MINA)</t>
  </si>
  <si>
    <t xml:space="preserve">Mina Protocol MINA MINA </t>
  </si>
  <si>
    <t>mina protocol (MINA) 7d chart</t>
  </si>
  <si>
    <t>swissborg (CHSB)</t>
  </si>
  <si>
    <t xml:space="preserve">SwissBorg CHSB CHSB </t>
  </si>
  <si>
    <t>swissborg (CHSB) 7d chart</t>
  </si>
  <si>
    <t>cusdt (CUSDT)</t>
  </si>
  <si>
    <t xml:space="preserve">cUSDT CUSDT CUSDT </t>
  </si>
  <si>
    <t>cusdt (CUSDT) 7d chart</t>
  </si>
  <si>
    <t>renbtc (RENBTC)</t>
  </si>
  <si>
    <t xml:space="preserve">renBTC RENBTC RENBTC </t>
  </si>
  <si>
    <t>renbtc (RENBTC) 7d chart</t>
  </si>
  <si>
    <t>ultra (UOS)</t>
  </si>
  <si>
    <t xml:space="preserve">Ultra UOS UOS </t>
  </si>
  <si>
    <t>ultra (UOS) 7d chart</t>
  </si>
  <si>
    <t>ergo (ERG)</t>
  </si>
  <si>
    <t xml:space="preserve">Ergo ERG ERG </t>
  </si>
  <si>
    <t>ergo (ERG) 7d chart</t>
  </si>
  <si>
    <t>ren (REN)</t>
  </si>
  <si>
    <t xml:space="preserve">REN REN REN </t>
  </si>
  <si>
    <t>ren (REN) 7d chart</t>
  </si>
  <si>
    <t>yield guild games (YGG)</t>
  </si>
  <si>
    <t xml:space="preserve">Yield Guild Games YGG YGG </t>
  </si>
  <si>
    <t>yield guild games (YGG) 7d chart</t>
  </si>
  <si>
    <t>gatetoken (GT)</t>
  </si>
  <si>
    <t xml:space="preserve">GateToken GT GT </t>
  </si>
  <si>
    <t>gatetoken (GT) 7d chart</t>
  </si>
  <si>
    <t>celo (CELO)</t>
  </si>
  <si>
    <t xml:space="preserve">Celo CELO CELO </t>
  </si>
  <si>
    <t>celo (CELO) 7d chart</t>
  </si>
  <si>
    <t>1inch (1INCH)</t>
  </si>
  <si>
    <t xml:space="preserve">1inch 1INCH 1INCH </t>
  </si>
  <si>
    <t>1inch (1INCH) 7d chart</t>
  </si>
  <si>
    <t>swipe (SXP)</t>
  </si>
  <si>
    <t xml:space="preserve">Swipe SXP SXP </t>
  </si>
  <si>
    <t>swipe (SXP) 7d chart</t>
  </si>
  <si>
    <t>titanswap (TITAN)</t>
  </si>
  <si>
    <t xml:space="preserve">TitanSwap TITAN TITAN </t>
  </si>
  <si>
    <t>titanswap (TITAN) 7d chart</t>
  </si>
  <si>
    <t>wazirx (WRX)</t>
  </si>
  <si>
    <t xml:space="preserve">WazirX WRX WRX </t>
  </si>
  <si>
    <t>wazirx (WRX) 7d chart</t>
  </si>
  <si>
    <t>osmosis (OSMO)</t>
  </si>
  <si>
    <t xml:space="preserve">Osmosis OSMO OSMO </t>
  </si>
  <si>
    <t>osmosis (OSMO) 7d chart</t>
  </si>
  <si>
    <t>dent (DENT)</t>
  </si>
  <si>
    <t xml:space="preserve">Dent DENT DENT </t>
  </si>
  <si>
    <t>dent (DENT) 7d chart</t>
  </si>
  <si>
    <t>loopring (LRC)</t>
  </si>
  <si>
    <t xml:space="preserve">Loopring LRC LRC </t>
  </si>
  <si>
    <t>loopring (LRC) 7d chart</t>
  </si>
  <si>
    <t>polymath (POLY)</t>
  </si>
  <si>
    <t xml:space="preserve">Polymath POLY POLY </t>
  </si>
  <si>
    <t>polymath (POLY) 7d chart</t>
  </si>
  <si>
    <t>reserve rights token (RSR)</t>
  </si>
  <si>
    <t xml:space="preserve">Reserve Rights Token RSR RSR </t>
  </si>
  <si>
    <t>reserve rights token (RSR) 7d chart</t>
  </si>
  <si>
    <t>lisk (LSK)</t>
  </si>
  <si>
    <t xml:space="preserve">Lisk LSK LSK </t>
  </si>
  <si>
    <t>lisk (LSK) 7d chart</t>
  </si>
  <si>
    <t>liquity usd (LUSD)</t>
  </si>
  <si>
    <t xml:space="preserve">Liquity USD LUSD LUSD </t>
  </si>
  <si>
    <t>liquity usd (LUSD) 7d chart</t>
  </si>
  <si>
    <t>golem (GLM)</t>
  </si>
  <si>
    <t xml:space="preserve">Golem GLM GLM </t>
  </si>
  <si>
    <t>golem (GLM) 7d chart</t>
  </si>
  <si>
    <t>pirate chain (ARRR)</t>
  </si>
  <si>
    <t xml:space="preserve">Pirate Chain ARRR ARRR </t>
  </si>
  <si>
    <t>pirate chain (ARRR) 7d chart</t>
  </si>
  <si>
    <t>wax (WAXP)</t>
  </si>
  <si>
    <t xml:space="preserve">WAX WAXP WAXP </t>
  </si>
  <si>
    <t>wax (WAXP) 7d chart</t>
  </si>
  <si>
    <t>alpha finance (ALPHA)</t>
  </si>
  <si>
    <t xml:space="preserve">Alpha Finance ALPHA ALPHA </t>
  </si>
  <si>
    <t>alpha finance (ALPHA) 7d chart</t>
  </si>
  <si>
    <t>pundi x (PUNDIX)</t>
  </si>
  <si>
    <t xml:space="preserve">Pundi X PUNDIX PUNDIX </t>
  </si>
  <si>
    <t>pundi x (PUNDIX) 7d chart</t>
  </si>
  <si>
    <t>energy web token (EWT)</t>
  </si>
  <si>
    <t xml:space="preserve">Energy Web Token EWT EWT </t>
  </si>
  <si>
    <t>energy web token (EWT) 7d chart</t>
  </si>
  <si>
    <t>trust wallet token (TWT)</t>
  </si>
  <si>
    <t xml:space="preserve">Trust Wallet Token TWT TWT </t>
  </si>
  <si>
    <t>trust wallet token (TWT) 7d chart</t>
  </si>
  <si>
    <t>medibloc (MED)</t>
  </si>
  <si>
    <t xml:space="preserve">Medibloc MED MED </t>
  </si>
  <si>
    <t>medibloc (MED) 7d chart</t>
  </si>
  <si>
    <t>winklink (WIN)</t>
  </si>
  <si>
    <t xml:space="preserve">WINkLink WIN WIN </t>
  </si>
  <si>
    <t>winklink (WIN) 7d chart</t>
  </si>
  <si>
    <t>livepeer (LPT)</t>
  </si>
  <si>
    <t xml:space="preserve">Livepeer LPT LPT </t>
  </si>
  <si>
    <t>livepeer (LPT) 7d chart</t>
  </si>
  <si>
    <t>skale (SKL)</t>
  </si>
  <si>
    <t xml:space="preserve">SKALE SKL SKL </t>
  </si>
  <si>
    <t>skale (SKL) 7d chart</t>
  </si>
  <si>
    <t>unibright (UBT)</t>
  </si>
  <si>
    <t xml:space="preserve">Unibright UBT UBT </t>
  </si>
  <si>
    <t>unibright (UBT) 7d chart</t>
  </si>
  <si>
    <t>verge (XVG)</t>
  </si>
  <si>
    <t xml:space="preserve">Verge XVG XVG </t>
  </si>
  <si>
    <t>verge (XVG) 7d chart</t>
  </si>
  <si>
    <t>neutrino usd (USDN)</t>
  </si>
  <si>
    <t xml:space="preserve">Neutrino USD USDN USDN </t>
  </si>
  <si>
    <t>neutrino usd (USDN) 7d chart</t>
  </si>
  <si>
    <t>vethor token (VTHO)</t>
  </si>
  <si>
    <t xml:space="preserve">VeThor Token VTHO VTHO </t>
  </si>
  <si>
    <t>vethor token (VTHO) 7d chart</t>
  </si>
  <si>
    <t>olympus (OHM)</t>
  </si>
  <si>
    <t xml:space="preserve">Olympus OHM OHM </t>
  </si>
  <si>
    <t>olympus (OHM) 7d chart</t>
  </si>
  <si>
    <t>fetch.ai (FET)</t>
  </si>
  <si>
    <t xml:space="preserve">Fetch.ai FET FET </t>
  </si>
  <si>
    <t>fetch.ai (FET) 7d chart</t>
  </si>
  <si>
    <t>eden (EDEN)</t>
  </si>
  <si>
    <t xml:space="preserve">EDEN EDEN EDEN </t>
  </si>
  <si>
    <t>eden (EDEN) 7d chart</t>
  </si>
  <si>
    <t>husd (HUSD)</t>
  </si>
  <si>
    <t xml:space="preserve">HUSD HUSD HUSD </t>
  </si>
  <si>
    <t>husd (HUSD) 7d chart</t>
  </si>
  <si>
    <t>gnosis (GNO)</t>
  </si>
  <si>
    <t xml:space="preserve">Gnosis GNO GNO </t>
  </si>
  <si>
    <t>gnosis (GNO) 7d chart</t>
  </si>
  <si>
    <t>nervos network (CKB)</t>
  </si>
  <si>
    <t xml:space="preserve">Nervos Network CKB CKB </t>
  </si>
  <si>
    <t>nervos network (CKB) 7d chart</t>
  </si>
  <si>
    <t>serum (SRM)</t>
  </si>
  <si>
    <t xml:space="preserve">Serum SRM SRM </t>
  </si>
  <si>
    <t>serum (SRM) 7d chart</t>
  </si>
  <si>
    <t>vectorspace ai (VXV)</t>
  </si>
  <si>
    <t xml:space="preserve">Vectorspace AI VXV VXV </t>
  </si>
  <si>
    <t>vectorspace ai (VXV) 7d chart</t>
  </si>
  <si>
    <t>oxygen (OXY)</t>
  </si>
  <si>
    <t xml:space="preserve">Oxygen OXY OXY </t>
  </si>
  <si>
    <t>oxygen (OXY) 7d chart</t>
  </si>
  <si>
    <t>fei protocol (FEI)</t>
  </si>
  <si>
    <t xml:space="preserve">Fei Protocol FEI FEI </t>
  </si>
  <si>
    <t>fei protocol (FEI) 7d chart</t>
  </si>
  <si>
    <t>seth (SETH)</t>
  </si>
  <si>
    <t xml:space="preserve">sETH SETH SETH </t>
  </si>
  <si>
    <t>seth (SETH) 7d chart</t>
  </si>
  <si>
    <t>persistence (XPRT)</t>
  </si>
  <si>
    <t xml:space="preserve">Persistence XPRT XPRT </t>
  </si>
  <si>
    <t>persistence (XPRT) 7d chart</t>
  </si>
  <si>
    <t>anchor protocol (ANC)</t>
  </si>
  <si>
    <t xml:space="preserve">Anchor Protocol ANC ANC </t>
  </si>
  <si>
    <t>anchor protocol (ANC) 7d chart</t>
  </si>
  <si>
    <t>Price w/o usd</t>
  </si>
  <si>
    <t>metahero (HERO)</t>
  </si>
  <si>
    <t xml:space="preserve">Metahero HERO HERO </t>
  </si>
  <si>
    <t>metahero (HERO) 7d chart</t>
  </si>
  <si>
    <t>ecash (XEC)</t>
  </si>
  <si>
    <t xml:space="preserve">eCash XEC XEC </t>
  </si>
  <si>
    <t>ecash (XEC) 7d chart</t>
  </si>
  <si>
    <t>celer network (CELR)</t>
  </si>
  <si>
    <t xml:space="preserve">Celer Network CELR CELR </t>
  </si>
  <si>
    <t>celer network (CELR) 7d chart</t>
  </si>
  <si>
    <t>$1.00</t>
  </si>
  <si>
    <t>Plant vs Undead Token</t>
  </si>
  <si>
    <t>rocket pool (RPL)</t>
  </si>
  <si>
    <t xml:space="preserve">Rocket Pool RPL RPL </t>
  </si>
  <si>
    <t>rocket pool (RPL) 7d chart</t>
  </si>
  <si>
    <t>dydx (DYDX)</t>
  </si>
  <si>
    <t xml:space="preserve">dYdX DYDX DYDX </t>
  </si>
  <si>
    <t>dydx (DYDX) 7d chart</t>
  </si>
  <si>
    <t>akash network (AKT)</t>
  </si>
  <si>
    <t xml:space="preserve">Akash Network AKT AKT </t>
  </si>
  <si>
    <t>akash network (AKT) 7d chart</t>
  </si>
  <si>
    <t>xyo network (XYO)</t>
  </si>
  <si>
    <t xml:space="preserve">XYO Network XYO XYO </t>
  </si>
  <si>
    <t>xyo network (XYO) 7d chart</t>
  </si>
  <si>
    <t>Harmony Ecosystem</t>
  </si>
  <si>
    <t>...and 56 other categories</t>
  </si>
  <si>
    <t>electroneum (ETN)</t>
  </si>
  <si>
    <t xml:space="preserve">Electroneum ETN ETN </t>
  </si>
  <si>
    <t>electroneum (ETN) 7d chart</t>
  </si>
  <si>
    <t>digitalbits (XDB)</t>
  </si>
  <si>
    <t xml:space="preserve">DigitalBits XDB XDB </t>
  </si>
  <si>
    <t>digitalbits (XDB) 7d chart</t>
  </si>
  <si>
    <t>gala (GALA)</t>
  </si>
  <si>
    <t xml:space="preserve">Gala GALA GALA </t>
  </si>
  <si>
    <t>gala (GALA) 7d chart</t>
  </si>
  <si>
    <t>$2,366,437,739</t>
  </si>
  <si>
    <t>Password Password Strength: Weak - Stronger password required! Medium - Works. But could be better! Strong - Good to go!</t>
  </si>
  <si>
    <t>Celo Ecosystem</t>
  </si>
  <si>
    <t>orbs (ORBS)</t>
  </si>
  <si>
    <t xml:space="preserve">Orbs ORBS ORBS </t>
  </si>
  <si>
    <t>orbs (ORBS) 7d chart</t>
  </si>
  <si>
    <t>$618,169,546</t>
  </si>
  <si>
    <t>coti (COTI)</t>
  </si>
  <si>
    <t xml:space="preserve">COTI COTI COTI </t>
  </si>
  <si>
    <t>coti (COTI) 7d chart</t>
  </si>
  <si>
    <t>conflux (CFX)</t>
  </si>
  <si>
    <t xml:space="preserve">Conflux CFX CFX </t>
  </si>
  <si>
    <t>conflux (CFX) 7d chart</t>
  </si>
  <si>
    <t>velas (VLX)</t>
  </si>
  <si>
    <t xml:space="preserve">Velas VLX VLX </t>
  </si>
  <si>
    <t>velas (VLX) 7d chart</t>
  </si>
  <si>
    <t>frax (FRAX)</t>
  </si>
  <si>
    <t xml:space="preserve">Frax FRAX FRAX </t>
  </si>
  <si>
    <t>frax (FRAX) 7d chart</t>
  </si>
  <si>
    <t>pax gold (PAXG)</t>
  </si>
  <si>
    <t xml:space="preserve">PAX Gold PAXG PAXG </t>
  </si>
  <si>
    <t>pax gold (PAXG) 7d chart</t>
  </si>
  <si>
    <t>plex (PLEX)</t>
  </si>
  <si>
    <t xml:space="preserve">PLEX PLEX PLEX </t>
  </si>
  <si>
    <t>plex (PLEX) 7d chart</t>
  </si>
  <si>
    <t>secret (SCRT)</t>
  </si>
  <si>
    <t xml:space="preserve">Secret SCRT SCRT </t>
  </si>
  <si>
    <t>secret (SCRT) 7d chart</t>
  </si>
  <si>
    <t>lukso token (LYXE)</t>
  </si>
  <si>
    <t xml:space="preserve">LUKSO Token LYXE LYXE </t>
  </si>
  <si>
    <t>lukso token (LYXE) 7d chart</t>
  </si>
  <si>
    <t>decentralized social (DESO)</t>
  </si>
  <si>
    <t xml:space="preserve">Decentralized Social DESO DESO </t>
  </si>
  <si>
    <t>decentralized social (DESO) 7d chart</t>
  </si>
  <si>
    <t>singularitynet (AGIX)</t>
  </si>
  <si>
    <t xml:space="preserve">SingularityNET AGIX AGIX </t>
  </si>
  <si>
    <t>singularitynet (AGIX) 7d chart</t>
  </si>
  <si>
    <t>illuvium (ILV)</t>
  </si>
  <si>
    <t xml:space="preserve">Illuvium ILV ILV </t>
  </si>
  <si>
    <t>illuvium (ILV) 7d chart</t>
  </si>
  <si>
    <t>magic internet money (MIM)</t>
  </si>
  <si>
    <t xml:space="preserve">Magic Internet Money MIM MIM </t>
  </si>
  <si>
    <t>magic internet money (MIM) 7d chart</t>
  </si>
  <si>
    <t>Arbitrum Ecosystem</t>
  </si>
  <si>
    <t>dYdX</t>
  </si>
  <si>
    <t>CoinGecko LogoCoinGecko provides a fundamental analysis of the crypto market. In addition to tracking price, volume and market capitalisation, CoinGecko tracks community growth, open-source code development, major events and on-chain metrics.</t>
  </si>
  <si>
    <t xml:space="preserve">Help Center | Contact | Bug Bounty | Disclaimer </t>
  </si>
  <si>
    <t xml:space="preserve">Terms of Service | Privacy Policy | Ad Policy </t>
  </si>
  <si>
    <t>About CoinGecko</t>
  </si>
  <si>
    <t xml:space="preserve">About Us </t>
  </si>
  <si>
    <t xml:space="preserve">Methodology </t>
  </si>
  <si>
    <t xml:space="preserve">Careers Join Us </t>
  </si>
  <si>
    <t xml:space="preserve">Branding Guide </t>
  </si>
  <si>
    <t xml:space="preserve">Request Form </t>
  </si>
  <si>
    <t xml:space="preserve">Advertising </t>
  </si>
  <si>
    <t xml:space="preserve">FAQ </t>
  </si>
  <si>
    <t>For Developers</t>
  </si>
  <si>
    <t xml:space="preserve">Developer API </t>
  </si>
  <si>
    <t xml:space="preserve">Widgets </t>
  </si>
  <si>
    <t xml:space="preserve">Bitcoin </t>
  </si>
  <si>
    <t xml:space="preserve">Ethereum </t>
  </si>
  <si>
    <t xml:space="preserve">Twitter </t>
  </si>
  <si>
    <t xml:space="preserve">Telegram Chat </t>
  </si>
  <si>
    <t xml:space="preserve">Telegram News </t>
  </si>
  <si>
    <t xml:space="preserve">Instagram </t>
  </si>
  <si>
    <t xml:space="preserve">Reddit </t>
  </si>
  <si>
    <t xml:space="preserve">Discord </t>
  </si>
  <si>
    <t xml:space="preserve">Facebook </t>
  </si>
  <si>
    <t xml:space="preserve">Youtube </t>
  </si>
  <si>
    <t>moonriver (MOVR)</t>
  </si>
  <si>
    <t xml:space="preserve">Moonriver MOVR MOVR </t>
  </si>
  <si>
    <t>moonriver (MOVR) 7d chart</t>
  </si>
  <si>
    <t>kava (KAVA)</t>
  </si>
  <si>
    <t xml:space="preserve">Kava KAVA KAVA </t>
  </si>
  <si>
    <t>kava (KAVA) 7d chart</t>
  </si>
  <si>
    <t>woo network (WOO)</t>
  </si>
  <si>
    <t xml:space="preserve">WOO Network WOO WOO </t>
  </si>
  <si>
    <t>woo network (WOO) 7d chart</t>
  </si>
  <si>
    <t>joe (JOE)</t>
  </si>
  <si>
    <t xml:space="preserve">JOE JOE JOE </t>
  </si>
  <si>
    <t>joe (JOE) 7d chart</t>
  </si>
  <si>
    <t>mango markets (MNGO)</t>
  </si>
  <si>
    <t xml:space="preserve">Mango Markets MNGO MNGO </t>
  </si>
  <si>
    <t>mango markets (MNGO) 7d chart</t>
  </si>
  <si>
    <t>injective protocol (INJ)</t>
  </si>
  <si>
    <t xml:space="preserve">Injective Protocol INJ INJ </t>
  </si>
  <si>
    <t>injective protocol (INJ) 7d chart</t>
  </si>
  <si>
    <t>bakeryswap (BAKE)</t>
  </si>
  <si>
    <t xml:space="preserve">BakerySwap BAKE BAKE </t>
  </si>
  <si>
    <t>bakeryswap (BAKE) 7d chart</t>
  </si>
  <si>
    <t>band protocol (BAND)</t>
  </si>
  <si>
    <t xml:space="preserve">Band Protocol BAND BAND </t>
  </si>
  <si>
    <t>band protocol (BAND) 7d chart</t>
  </si>
  <si>
    <t>Investment (USDT)</t>
  </si>
  <si>
    <t>Overall Status</t>
  </si>
  <si>
    <t>Total Investment (USDT)</t>
  </si>
  <si>
    <t>Current Price (USDT)</t>
  </si>
  <si>
    <t>Avg. Price (USDT)</t>
  </si>
  <si>
    <r>
      <t>Portfolio New</t>
    </r>
    <r>
      <rPr>
        <sz val="12"/>
        <color theme="1"/>
        <rFont val="Calibri"/>
        <family val="2"/>
        <scheme val="minor"/>
      </rPr>
      <t xml:space="preserve"> </t>
    </r>
    <r>
      <rPr>
        <sz val="10"/>
        <color theme="1"/>
        <rFont val="Calibri"/>
        <family val="2"/>
        <scheme val="minor"/>
      </rPr>
      <t>Beam (beta)</t>
    </r>
    <r>
      <rPr>
        <sz val="12"/>
        <color theme="1"/>
        <rFont val="Calibri"/>
        <family val="2"/>
        <scheme val="minor"/>
      </rPr>
      <t xml:space="preserve"> </t>
    </r>
    <r>
      <rPr>
        <sz val="10"/>
        <color theme="1"/>
        <rFont val="Calibri"/>
        <family val="2"/>
        <scheme val="minor"/>
      </rPr>
      <t>Price Alert Login and Security Subscription Sign Out</t>
    </r>
  </si>
  <si>
    <r>
      <t>USD</t>
    </r>
    <r>
      <rPr>
        <sz val="12"/>
        <color theme="1"/>
        <rFont val="Calibri"/>
        <family val="2"/>
        <scheme val="minor"/>
      </rPr>
      <t xml:space="preserve"> </t>
    </r>
  </si>
  <si>
    <r>
      <t>Market Cap Rank Recently Added CategoriesNew</t>
    </r>
    <r>
      <rPr>
        <sz val="12"/>
        <color theme="1"/>
        <rFont val="Calibri"/>
        <family val="2"/>
        <scheme val="minor"/>
      </rPr>
      <t xml:space="preserve"> </t>
    </r>
    <r>
      <rPr>
        <sz val="10"/>
        <color theme="1"/>
        <rFont val="Calibri"/>
        <family val="2"/>
        <scheme val="minor"/>
      </rPr>
      <t>Discover Large Movers High Volumes</t>
    </r>
  </si>
  <si>
    <r>
      <t>NFTs &amp; Collectibles New</t>
    </r>
    <r>
      <rPr>
        <sz val="12"/>
        <color theme="1"/>
        <rFont val="Calibri"/>
        <family val="2"/>
        <scheme val="minor"/>
      </rPr>
      <t xml:space="preserve"> </t>
    </r>
    <r>
      <rPr>
        <sz val="10"/>
        <color theme="1"/>
        <rFont val="Calibri"/>
        <family val="2"/>
        <scheme val="minor"/>
      </rPr>
      <t>NFT Spotlight NFT Related Coins</t>
    </r>
  </si>
  <si>
    <r>
      <t xml:space="preserve">Portfolio </t>
    </r>
    <r>
      <rPr>
        <sz val="10"/>
        <color theme="1"/>
        <rFont val="Calibri"/>
        <family val="2"/>
        <scheme val="minor"/>
      </rPr>
      <t>Coins</t>
    </r>
    <r>
      <rPr>
        <sz val="12"/>
        <color theme="1"/>
        <rFont val="Calibri"/>
        <family val="2"/>
        <scheme val="minor"/>
      </rPr>
      <t xml:space="preserve"> </t>
    </r>
    <r>
      <rPr>
        <sz val="10"/>
        <color theme="1"/>
        <rFont val="Calibri"/>
        <family val="2"/>
        <scheme val="minor"/>
      </rPr>
      <t>Recently Added</t>
    </r>
    <r>
      <rPr>
        <sz val="12"/>
        <color theme="1"/>
        <rFont val="Calibri"/>
        <family val="2"/>
        <scheme val="minor"/>
      </rPr>
      <t xml:space="preserve"> </t>
    </r>
    <r>
      <rPr>
        <sz val="10"/>
        <color theme="1"/>
        <rFont val="Calibri"/>
        <family val="2"/>
        <scheme val="minor"/>
      </rPr>
      <t>Large Movers</t>
    </r>
    <r>
      <rPr>
        <sz val="12"/>
        <color theme="1"/>
        <rFont val="Calibri"/>
        <family val="2"/>
        <scheme val="minor"/>
      </rPr>
      <t xml:space="preserve"> </t>
    </r>
    <r>
      <rPr>
        <sz val="10"/>
        <color theme="1"/>
        <rFont val="Calibri"/>
        <family val="2"/>
        <scheme val="minor"/>
      </rPr>
      <t>Categories</t>
    </r>
    <r>
      <rPr>
        <sz val="12"/>
        <color theme="1"/>
        <rFont val="Calibri"/>
        <family val="2"/>
        <scheme val="minor"/>
      </rPr>
      <t xml:space="preserve"> Custom Tabs New </t>
    </r>
  </si>
  <si>
    <r>
      <t>Reset All</t>
    </r>
    <r>
      <rPr>
        <sz val="12"/>
        <color theme="1"/>
        <rFont val="Calibri"/>
        <family val="2"/>
        <scheme val="minor"/>
      </rPr>
      <t xml:space="preserve"> </t>
    </r>
    <r>
      <rPr>
        <sz val="10"/>
        <color theme="1"/>
        <rFont val="Calibri"/>
        <family val="2"/>
        <scheme val="minor"/>
      </rPr>
      <t>Edit</t>
    </r>
    <r>
      <rPr>
        <sz val="12"/>
        <color theme="1"/>
        <rFont val="Calibri"/>
        <family val="2"/>
        <scheme val="minor"/>
      </rPr>
      <t xml:space="preserve"> </t>
    </r>
  </si>
  <si>
    <t>function x (FX)</t>
  </si>
  <si>
    <t xml:space="preserve">Function X FX FX </t>
  </si>
  <si>
    <t>function x (FX) 7d chart</t>
  </si>
  <si>
    <t>mirror protocol (MIR)</t>
  </si>
  <si>
    <t xml:space="preserve">Mirror Protocol MIR MIR </t>
  </si>
  <si>
    <t>$296,609,311</t>
  </si>
  <si>
    <t>mirror protocol (MIR) 7d chart</t>
  </si>
  <si>
    <t>ascendex token (ASD)</t>
  </si>
  <si>
    <t xml:space="preserve">AscendEx Token ASD ASD </t>
  </si>
  <si>
    <t>ascendex token (ASD) 7d chart</t>
  </si>
  <si>
    <t>bitcoin diamond (BCD)</t>
  </si>
  <si>
    <t xml:space="preserve">Bitcoin Diamond BCD BCD </t>
  </si>
  <si>
    <t>bitcoin diamond (BCD) 7d chart</t>
  </si>
  <si>
    <t>bonfida (FIDA)</t>
  </si>
  <si>
    <t xml:space="preserve">Bonfida FIDA FIDA </t>
  </si>
  <si>
    <t>bonfida (FIDA) 7d chart</t>
  </si>
  <si>
    <t>shiden network (SDN)</t>
  </si>
  <si>
    <t xml:space="preserve">Shiden Network SDN SDN </t>
  </si>
  <si>
    <t>shiden network (SDN) 7d chart</t>
  </si>
  <si>
    <t>aelf (ELF)</t>
  </si>
  <si>
    <t xml:space="preserve">aelf ELF ELF </t>
  </si>
  <si>
    <t>aelf (ELF) 7d chart</t>
  </si>
  <si>
    <t>ocean protocol (OCEAN)</t>
  </si>
  <si>
    <t xml:space="preserve">Ocean Protocol OCEAN OCEAN </t>
  </si>
  <si>
    <t>ocean protocol (OCEAN) 7d chart</t>
  </si>
  <si>
    <t>chia (XCH)</t>
  </si>
  <si>
    <t xml:space="preserve">Chia XCH XCH </t>
  </si>
  <si>
    <t>chia (XCH) 7d chart</t>
  </si>
  <si>
    <t>civic (CVC)</t>
  </si>
  <si>
    <t xml:space="preserve">Civic CVC CVC </t>
  </si>
  <si>
    <t>civic (CVC) 7d chart</t>
  </si>
  <si>
    <t>status (SNT)</t>
  </si>
  <si>
    <t xml:space="preserve">Status SNT SNT </t>
  </si>
  <si>
    <t>status (SNT) 7d chart</t>
  </si>
  <si>
    <t>prometeus (PROM)</t>
  </si>
  <si>
    <t xml:space="preserve">Prometeus PROM PROM </t>
  </si>
  <si>
    <t>prometeus (PROM) 7d chart</t>
  </si>
  <si>
    <t>ardor (ARDR)</t>
  </si>
  <si>
    <t xml:space="preserve">Ardor ARDR ARDR </t>
  </si>
  <si>
    <t>ardor (ARDR) 7d chart</t>
  </si>
  <si>
    <t>tokamak network (TON)</t>
  </si>
  <si>
    <t xml:space="preserve">Tokamak Network TON TON </t>
  </si>
  <si>
    <t>tokamak network (TON) 7d chart</t>
  </si>
  <si>
    <t>susd (SUSD)</t>
  </si>
  <si>
    <t xml:space="preserve">sUSD SUSD SUSD </t>
  </si>
  <si>
    <t>susd (SUSD) 7d chart</t>
  </si>
  <si>
    <t>pundi x [old] (NPXS)</t>
  </si>
  <si>
    <t xml:space="preserve">Pundi X [OLD] NPXS NPXS </t>
  </si>
  <si>
    <t>pundi x [old] (NPXS) 7d chart</t>
  </si>
  <si>
    <t>convex crv (CVXCRV)</t>
  </si>
  <si>
    <t xml:space="preserve">Convex CRV CVXCRV CVXCRV </t>
  </si>
  <si>
    <t>convex crv (CVXCRV) 7d chart</t>
  </si>
  <si>
    <t>rari governance token (RGT)</t>
  </si>
  <si>
    <t xml:space="preserve">Rari Governance Token RGT RGT </t>
  </si>
  <si>
    <t>rari governance token (RGT) 7d chart</t>
  </si>
  <si>
    <t>tribe (TRIBE)</t>
  </si>
  <si>
    <t xml:space="preserve">Tribe TRIBE TRIBE </t>
  </si>
  <si>
    <t>tribe (TRIBE) 7d chart</t>
  </si>
  <si>
    <t>origin protocol (OGN)</t>
  </si>
  <si>
    <t xml:space="preserve">Origin Protocol OGN OGN </t>
  </si>
  <si>
    <t>origin protocol (OGN) 7d chart</t>
  </si>
  <si>
    <t>reef finance (REEF)</t>
  </si>
  <si>
    <t xml:space="preserve">Reef Finance REEF REEF </t>
  </si>
  <si>
    <t>reef finance (REEF) 7d chart</t>
  </si>
  <si>
    <t>iexec rlc (RLC)</t>
  </si>
  <si>
    <t xml:space="preserve">iExec RLC RLC RLC </t>
  </si>
  <si>
    <t>iexec rlc (RLC) 7d chart</t>
  </si>
  <si>
    <t>kadena (KDA)</t>
  </si>
  <si>
    <t xml:space="preserve">Kadena KDA KDA </t>
  </si>
  <si>
    <t>kadena (KDA) 7d chart</t>
  </si>
  <si>
    <t>lido dao (LDO)</t>
  </si>
  <si>
    <t xml:space="preserve">Lido DAO LDO LDO </t>
  </si>
  <si>
    <t>lido dao (LDO) 7d chart</t>
  </si>
  <si>
    <t>bifrost (BFC)</t>
  </si>
  <si>
    <t xml:space="preserve">Bifrost BFC BFC </t>
  </si>
  <si>
    <t>bifrost (BFC) 7d chart</t>
  </si>
  <si>
    <t>cartesi (CTSI)</t>
  </si>
  <si>
    <t xml:space="preserve">Cartesi CTSI CTSI </t>
  </si>
  <si>
    <t>cartesi (CTSI) 7d chart</t>
  </si>
  <si>
    <t>orion protocol (ORN)</t>
  </si>
  <si>
    <t xml:space="preserve">Orion Protocol ORN ORN </t>
  </si>
  <si>
    <t>orion protocol (ORN) 7d chart</t>
  </si>
  <si>
    <t>venus (XVS)</t>
  </si>
  <si>
    <t xml:space="preserve">Venus XVS XVS </t>
  </si>
  <si>
    <t>venus (XVS) 7d chart</t>
  </si>
  <si>
    <t>mask network (MASK)</t>
  </si>
  <si>
    <t xml:space="preserve">Mask Network MASK MASK </t>
  </si>
  <si>
    <t>mask network (MASK) 7d chart</t>
  </si>
  <si>
    <t>convex finance (CVX)</t>
  </si>
  <si>
    <t xml:space="preserve">Convex Finance CVX CVX </t>
  </si>
  <si>
    <t>convex finance (CVX) 7d chart</t>
  </si>
  <si>
    <t>oasis network (ROSE)</t>
  </si>
  <si>
    <t xml:space="preserve">Oasis Network ROSE ROSE </t>
  </si>
  <si>
    <t>oasis network (ROSE) 7d chart</t>
  </si>
  <si>
    <t>allianceblock (ALBT)</t>
  </si>
  <si>
    <t xml:space="preserve">AllianceBlock ALBT ALBT </t>
  </si>
  <si>
    <t>allianceblock (ALBT) 7d chart</t>
  </si>
  <si>
    <t>numeraire (NMR)</t>
  </si>
  <si>
    <t xml:space="preserve">Numeraire NMR NMR </t>
  </si>
  <si>
    <t>numeraire (NMR) 7d chart</t>
  </si>
  <si>
    <t>alchemix usd (ALUSD)</t>
  </si>
  <si>
    <t xml:space="preserve">Alchemix USD ALUSD ALUSD </t>
  </si>
  <si>
    <t>alchemix usd (ALUSD) 7d chart</t>
  </si>
  <si>
    <t>stormx (STMX)</t>
  </si>
  <si>
    <t xml:space="preserve">StormX STMX STMX </t>
  </si>
  <si>
    <t>stormx (STMX) 7d chart</t>
  </si>
  <si>
    <t>ark (ARK)</t>
  </si>
  <si>
    <t xml:space="preserve">Ark ARK ARK </t>
  </si>
  <si>
    <t>ark (ARK) 7d chart</t>
  </si>
  <si>
    <t>ton crystal (TON)</t>
  </si>
  <si>
    <t xml:space="preserve">TON Crystal TON TON </t>
  </si>
  <si>
    <t>ton crystal (TON) 7d chart</t>
  </si>
  <si>
    <t>peakdefi (PEAK)</t>
  </si>
  <si>
    <t xml:space="preserve">PEAKDEFI PEAK PEAK </t>
  </si>
  <si>
    <t>peakdefi (PEAK) 7d chart</t>
  </si>
  <si>
    <t>balancer (BAL)</t>
  </si>
  <si>
    <t xml:space="preserve">Balancer BAL BAL </t>
  </si>
  <si>
    <t>balancer (BAL) 7d chart</t>
  </si>
  <si>
    <t>maidsafecoin (MAID)</t>
  </si>
  <si>
    <t xml:space="preserve">MaidSafeCoin MAID MAID </t>
  </si>
  <si>
    <t>maidsafecoin (MAID) 7d chart</t>
  </si>
  <si>
    <t>sapphire (SAPP)</t>
  </si>
  <si>
    <t xml:space="preserve">Sapphire SAPP SAPP </t>
  </si>
  <si>
    <t>sapphire (SAPP) 7d chart</t>
  </si>
  <si>
    <t>adventure gold (AGLD)</t>
  </si>
  <si>
    <t xml:space="preserve">Adventure Gold AGLD AGLD </t>
  </si>
  <si>
    <t>adventure gold (AGLD) 7d chart</t>
  </si>
  <si>
    <t>spell token (SPELL)</t>
  </si>
  <si>
    <t xml:space="preserve">Spell Token SPELL SPELL </t>
  </si>
  <si>
    <t>spell token (SPELL) 7d chart</t>
  </si>
  <si>
    <t>idex (IDEX)</t>
  </si>
  <si>
    <t xml:space="preserve">IDEX IDEX IDEX </t>
  </si>
  <si>
    <t>idex (IDEX) 7d chart</t>
  </si>
  <si>
    <t>enzyme (MLN)</t>
  </si>
  <si>
    <t xml:space="preserve">Enzyme MLN MLN </t>
  </si>
  <si>
    <t>enzyme (MLN) 7d chart</t>
  </si>
  <si>
    <t>unizen (ZCX)</t>
  </si>
  <si>
    <t xml:space="preserve">Unizen ZCX ZCX </t>
  </si>
  <si>
    <t>unizen (ZCX) 7d chart</t>
  </si>
  <si>
    <t>hive (HIVE)</t>
  </si>
  <si>
    <t xml:space="preserve">Hive HIVE HIVE </t>
  </si>
  <si>
    <t>hive (HIVE) 7d chart</t>
  </si>
  <si>
    <t>alchemy pay (ACH)</t>
  </si>
  <si>
    <t xml:space="preserve">Alchemy Pay ACH ACH </t>
  </si>
  <si>
    <t>alchemy pay (ACH) 7d chart</t>
  </si>
  <si>
    <t>sbtc (SBTC)</t>
  </si>
  <si>
    <t xml:space="preserve">sBTC SBTC SBTC </t>
  </si>
  <si>
    <t>sbtc (SBTC) 7d chart</t>
  </si>
  <si>
    <t>cuni (CUNI)</t>
  </si>
  <si>
    <t xml:space="preserve">cUNI CUNI CUNI </t>
  </si>
  <si>
    <t>cuni (CUNI) 7d chart</t>
  </si>
  <si>
    <t>dero (DERO)</t>
  </si>
  <si>
    <t xml:space="preserve">Dero DERO DERO </t>
  </si>
  <si>
    <t>dero (DERO) 7d chart</t>
  </si>
  <si>
    <t>klever (KLV)</t>
  </si>
  <si>
    <t xml:space="preserve">Klever KLV KLV </t>
  </si>
  <si>
    <t>klever (KLV) 7d chart</t>
  </si>
  <si>
    <t>sentinel (DVPN)</t>
  </si>
  <si>
    <t xml:space="preserve">Sentinel DVPN DVPN </t>
  </si>
  <si>
    <t>sentinel (DVPN) 7d chart</t>
  </si>
  <si>
    <t>keep network (KEEP)</t>
  </si>
  <si>
    <t xml:space="preserve">Keep Network KEEP KEEP </t>
  </si>
  <si>
    <t>keep network (KEEP) 7d chart</t>
  </si>
  <si>
    <t>alien worlds (TLM)</t>
  </si>
  <si>
    <t xml:space="preserve">Alien Worlds TLM TLM </t>
  </si>
  <si>
    <t>alien worlds (TLM) 7d chart</t>
  </si>
  <si>
    <t>nkn (NKN)</t>
  </si>
  <si>
    <t xml:space="preserve">NKN NKN NKN </t>
  </si>
  <si>
    <t>nkn (NKN) 7d chart</t>
  </si>
  <si>
    <t>funtoken (FUN)</t>
  </si>
  <si>
    <t xml:space="preserve">FUNToken FUN FUN </t>
  </si>
  <si>
    <t>funtoken (FUN) 7d chart</t>
  </si>
  <si>
    <t>flex coin (FLEX)</t>
  </si>
  <si>
    <t xml:space="preserve">FLEX Coin FLEX FLEX </t>
  </si>
  <si>
    <t>flex coin (FLEX) 7d chart</t>
  </si>
  <si>
    <t>dawn protocol (DAWN)</t>
  </si>
  <si>
    <t xml:space="preserve">Dawn Protocol DAWN DAWN </t>
  </si>
  <si>
    <t>dawn protocol (DAWN) 7d chart</t>
  </si>
  <si>
    <t>defipulse index (DPI)</t>
  </si>
  <si>
    <t xml:space="preserve">DeFiPulse Index DPI DPI </t>
  </si>
  <si>
    <t>defipulse index (DPI) 7d chart</t>
  </si>
  <si>
    <t>verasity (VRA)</t>
  </si>
  <si>
    <t xml:space="preserve">Verasity VRA VRA </t>
  </si>
  <si>
    <t>verasity (VRA) 7d chart</t>
  </si>
  <si>
    <t>syscoin (SYS)</t>
  </si>
  <si>
    <t xml:space="preserve">Syscoin SYS SYS </t>
  </si>
  <si>
    <t>syscoin (SYS) 7d chart</t>
  </si>
  <si>
    <t>truefi (TRU)</t>
  </si>
  <si>
    <t xml:space="preserve">TrueFi TRU TRU </t>
  </si>
  <si>
    <t>truefi (TRU) 7d chart</t>
  </si>
  <si>
    <t>dodo (DODO)</t>
  </si>
  <si>
    <t xml:space="preserve">DODO DODO DODO </t>
  </si>
  <si>
    <t>dodo (DODO) 7d chart</t>
  </si>
  <si>
    <t>steem (STEEM)</t>
  </si>
  <si>
    <t xml:space="preserve">Steem STEEM STEEM </t>
  </si>
  <si>
    <t>steem (STEEM) 7d chart</t>
  </si>
  <si>
    <t>orchid protocol (OXT)</t>
  </si>
  <si>
    <t xml:space="preserve">Orchid Protocol OXT OXT </t>
  </si>
  <si>
    <t>orchid protocol (OXT) 7d chart</t>
  </si>
  <si>
    <t>stratis (STRAX)</t>
  </si>
  <si>
    <t xml:space="preserve">Stratis STRAX STRAX </t>
  </si>
  <si>
    <t>stratis (STRAX) 7d chart</t>
  </si>
  <si>
    <t>casper network (CSPR)</t>
  </si>
  <si>
    <t xml:space="preserve">Casper Network CSPR CSPR </t>
  </si>
  <si>
    <t>casper network (CSPR) 7d chart</t>
  </si>
  <si>
    <t>metal (MTL)</t>
  </si>
  <si>
    <t xml:space="preserve">Metal MTL MTL </t>
  </si>
  <si>
    <t>metal (MTL) 7d chart</t>
  </si>
  <si>
    <t>ellipsis (EPS)</t>
  </si>
  <si>
    <t xml:space="preserve">Ellipsis EPS EPS </t>
  </si>
  <si>
    <t>ellipsis (EPS) 7d chart</t>
  </si>
  <si>
    <t>bounce (AUCTION)</t>
  </si>
  <si>
    <t xml:space="preserve">Bounce AUCTION AUCTION </t>
  </si>
  <si>
    <t>bounce (AUCTION) 7d chart</t>
  </si>
  <si>
    <t>tokemak (TOKE)</t>
  </si>
  <si>
    <t xml:space="preserve">Tokemak TOKE TOKE </t>
  </si>
  <si>
    <t>tokemak (TOKE) 7d chart</t>
  </si>
  <si>
    <t>star atlas (ATLAS)</t>
  </si>
  <si>
    <t xml:space="preserve">Star Atlas ATLAS ATLAS </t>
  </si>
  <si>
    <t>star atlas (ATLAS) 7d chart</t>
  </si>
  <si>
    <t>math (MATH)</t>
  </si>
  <si>
    <t xml:space="preserve">MATH MATH MATH </t>
  </si>
  <si>
    <t>math (MATH) 7d chart</t>
  </si>
  <si>
    <t>tomochain (TOMO)</t>
  </si>
  <si>
    <t xml:space="preserve">TomoChain TOMO TOMO </t>
  </si>
  <si>
    <t>tomochain (TOMO) 7d chart</t>
  </si>
  <si>
    <t>superfarm (SUPER)</t>
  </si>
  <si>
    <t xml:space="preserve">SuperFarm SUPER SUPER </t>
  </si>
  <si>
    <t>superfarm (SUPER) 7d chart</t>
  </si>
  <si>
    <t>aragon (ANT)</t>
  </si>
  <si>
    <t xml:space="preserve">Aragon ANT ANT </t>
  </si>
  <si>
    <t>aragon (ANT) 7d chart</t>
  </si>
  <si>
    <t>playdapp (PLA)</t>
  </si>
  <si>
    <t xml:space="preserve">PlayDapp PLA PLA </t>
  </si>
  <si>
    <t>playdapp (PLA) 7d chart</t>
  </si>
  <si>
    <t>beldex (BDX)</t>
  </si>
  <si>
    <t xml:space="preserve">Beldex BDX BDX </t>
  </si>
  <si>
    <t>beldex (BDX) 7d chart</t>
  </si>
  <si>
    <t>gemini dollar (GUSD)</t>
  </si>
  <si>
    <t xml:space="preserve">Gemini Dollar GUSD GUSD </t>
  </si>
  <si>
    <t>gemini dollar (GUSD) 7d chart</t>
  </si>
  <si>
    <t>my neighbor alice (ALICE)</t>
  </si>
  <si>
    <t xml:space="preserve">My Neighbor Alice ALICE ALICE </t>
  </si>
  <si>
    <t>my neighbor alice (ALICE) 7d chart</t>
  </si>
  <si>
    <t>alchemix (ALCX)</t>
  </si>
  <si>
    <t xml:space="preserve">Alchemix ALCX ALCX </t>
  </si>
  <si>
    <t>alchemix (ALCX) 7d chart</t>
  </si>
  <si>
    <t>radicle (RAD)</t>
  </si>
  <si>
    <t xml:space="preserve">Radicle RAD RAD </t>
  </si>
  <si>
    <t>radicle (RAD) 7d chart</t>
  </si>
  <si>
    <t>rally (RLY)</t>
  </si>
  <si>
    <t xml:space="preserve">Rally RLY RLY </t>
  </si>
  <si>
    <t>rally (RLY) 7d chart</t>
  </si>
  <si>
    <t>origintrail (TRAC)</t>
  </si>
  <si>
    <t xml:space="preserve">OriginTrail TRAC TRAC </t>
  </si>
  <si>
    <t>origintrail (TRAC) 7d chart</t>
  </si>
  <si>
    <t>rsk infrastructure framework (RIF)</t>
  </si>
  <si>
    <t xml:space="preserve">RSK Infrastructure Framework RIF RIF </t>
  </si>
  <si>
    <t>rsk infrastructure framework (RIF) 7d chart</t>
  </si>
  <si>
    <t>artery (ARTR)</t>
  </si>
  <si>
    <t xml:space="preserve">Artery ARTR ARTR </t>
  </si>
  <si>
    <t>artery (ARTR) 7d chart</t>
  </si>
  <si>
    <t>frax share (FXS)</t>
  </si>
  <si>
    <t xml:space="preserve">Frax Share FXS FXS </t>
  </si>
  <si>
    <t>frax share (FXS) 7d chart</t>
  </si>
  <si>
    <t>pac protocol (PAC)</t>
  </si>
  <si>
    <t xml:space="preserve">PAC Protocol PAC PAC </t>
  </si>
  <si>
    <t>pac protocol (PAC) 7d chart</t>
  </si>
  <si>
    <t>derivadao (DDX)</t>
  </si>
  <si>
    <t xml:space="preserve">DerivaDAO DDX DDX </t>
  </si>
  <si>
    <t>derivadao (DDX) 7d chart</t>
  </si>
  <si>
    <t>newscrypto coin (NWC)</t>
  </si>
  <si>
    <t xml:space="preserve">Newscrypto Coin NWC NWC </t>
  </si>
  <si>
    <t>$154,655,334</t>
  </si>
  <si>
    <t>newscrypto coin (NWC) 7d chart</t>
  </si>
  <si>
    <r>
      <t>×</t>
    </r>
    <r>
      <rPr>
        <b/>
        <sz val="13.5"/>
        <color theme="1"/>
        <rFont val="Calibri"/>
        <family val="2"/>
        <scheme val="minor"/>
      </rPr>
      <t xml:space="preserve"> Donate Bitcoin</t>
    </r>
  </si>
  <si>
    <r>
      <t>×</t>
    </r>
    <r>
      <rPr>
        <b/>
        <sz val="13.5"/>
        <color theme="1"/>
        <rFont val="Calibri"/>
        <family val="2"/>
        <scheme val="minor"/>
      </rPr>
      <t xml:space="preserve"> Donate Ethereum</t>
    </r>
  </si>
  <si>
    <t>USDT Available</t>
  </si>
  <si>
    <t>$1.41</t>
  </si>
  <si>
    <t>wrapped centrifuge (WCFG)</t>
  </si>
  <si>
    <t xml:space="preserve">Wrapped Centrifuge WCFG WCFG </t>
  </si>
  <si>
    <t>wrapped centrifuge (WCFG) 7d chart</t>
  </si>
  <si>
    <t>dfi.money (YFII)</t>
  </si>
  <si>
    <t xml:space="preserve">DFI.money YFII YFII </t>
  </si>
  <si>
    <t>dfi.money (YFII) 7d chart</t>
  </si>
  <si>
    <t>chromia (CHR)</t>
  </si>
  <si>
    <t xml:space="preserve">Chromia CHR CHR </t>
  </si>
  <si>
    <t>chromia (CHR) 7d chart</t>
  </si>
  <si>
    <t>superrare (RARE)</t>
  </si>
  <si>
    <t xml:space="preserve">SuperRare RARE RARE </t>
  </si>
  <si>
    <t>superrare (RARE) 7d chart</t>
  </si>
  <si>
    <t>Total Current Value (USDT)</t>
  </si>
  <si>
    <t>Total Net Gain</t>
  </si>
  <si>
    <t>Net % Gain</t>
  </si>
  <si>
    <t>Portfolio Allocation (%)</t>
  </si>
  <si>
    <t>Value</t>
  </si>
  <si>
    <t>Buy/Sell Current Coins</t>
  </si>
  <si>
    <t>Net Gain (USDT)</t>
  </si>
  <si>
    <t>24 hr Change (%)</t>
  </si>
  <si>
    <t>$259.29</t>
  </si>
  <si>
    <t>$487,327,587</t>
  </si>
  <si>
    <t>$4,873,153,756</t>
  </si>
  <si>
    <t>YIELD App</t>
  </si>
  <si>
    <t>Avalanche</t>
  </si>
  <si>
    <t>Terra</t>
  </si>
  <si>
    <t>Decentr</t>
  </si>
  <si>
    <t>$1.10</t>
  </si>
  <si>
    <t>wonderland (TIME)</t>
  </si>
  <si>
    <t xml:space="preserve">Wonderland TIME TIME </t>
  </si>
  <si>
    <t>wonderland (TIME) 7d chart</t>
  </si>
  <si>
    <t>tenset (10SET)</t>
  </si>
  <si>
    <t xml:space="preserve">Tenset 10SET 10SET </t>
  </si>
  <si>
    <t>tenset (10SET) 7d chart</t>
  </si>
  <si>
    <t>mobox (MBOX)</t>
  </si>
  <si>
    <t xml:space="preserve">Mobox MBOX MBOX </t>
  </si>
  <si>
    <t>mobox (MBOX) 7d chart</t>
  </si>
  <si>
    <t>$5.01</t>
  </si>
  <si>
    <t>$1.01</t>
  </si>
  <si>
    <t>$2.21</t>
  </si>
  <si>
    <t>$1.40</t>
  </si>
  <si>
    <t>nucypher (NU)</t>
  </si>
  <si>
    <t xml:space="preserve">NuCypher NU NU </t>
  </si>
  <si>
    <t>nucypher (NU) 7d chart</t>
  </si>
  <si>
    <t>$247,942,182</t>
  </si>
  <si>
    <t>$2.01</t>
  </si>
  <si>
    <t>$65,149,012,767</t>
  </si>
  <si>
    <t>$31,356,365,224</t>
  </si>
  <si>
    <t>$25,919,175,880</t>
  </si>
  <si>
    <t>$13,488,316,525</t>
  </si>
  <si>
    <t>$13,390,114,596</t>
  </si>
  <si>
    <t>$10,182,064,286</t>
  </si>
  <si>
    <t>$9,331,650,661</t>
  </si>
  <si>
    <t>$8,993,219,898</t>
  </si>
  <si>
    <t>$8,497,189,268</t>
  </si>
  <si>
    <t>$7,141,264,190</t>
  </si>
  <si>
    <t>$7,046,126,887</t>
  </si>
  <si>
    <t>$6,188,270,408</t>
  </si>
  <si>
    <t>$5,852,446,825</t>
  </si>
  <si>
    <t>$5,323,342,893</t>
  </si>
  <si>
    <t>$4,640,935,301</t>
  </si>
  <si>
    <t>$4,543,219,023</t>
  </si>
  <si>
    <t>$4,444,144,114</t>
  </si>
  <si>
    <t>$4,158,184,692</t>
  </si>
  <si>
    <t>$3,967,460,254</t>
  </si>
  <si>
    <t>$3,691,241,439</t>
  </si>
  <si>
    <t>$3,116,519,707</t>
  </si>
  <si>
    <t>$3,030,514,681</t>
  </si>
  <si>
    <t>$1.03</t>
  </si>
  <si>
    <t>$2,869,030,906</t>
  </si>
  <si>
    <t>$2,593,393,605</t>
  </si>
  <si>
    <t>$2,359,200,114</t>
  </si>
  <si>
    <t>$1,985,657,114</t>
  </si>
  <si>
    <t>$1,701,593,644</t>
  </si>
  <si>
    <t>$1,693,602,050</t>
  </si>
  <si>
    <t>$1,652,542,001</t>
  </si>
  <si>
    <t>$1,631,730,688</t>
  </si>
  <si>
    <t>$1,624,853,695</t>
  </si>
  <si>
    <t>$1,573,981,228</t>
  </si>
  <si>
    <t>$1,564,349,981</t>
  </si>
  <si>
    <t>$1,520,936,721</t>
  </si>
  <si>
    <t>$1,519,507,444</t>
  </si>
  <si>
    <t>$1,397,951,613</t>
  </si>
  <si>
    <t>$1,387,036,129</t>
  </si>
  <si>
    <t>$1,310,320,316</t>
  </si>
  <si>
    <t>$1,268,692,267</t>
  </si>
  <si>
    <t>$1,268,011,165</t>
  </si>
  <si>
    <t>$1,230,012,538</t>
  </si>
  <si>
    <t>$1,192,188,884</t>
  </si>
  <si>
    <t>$1,128,330,979</t>
  </si>
  <si>
    <t>$1,008,832,517</t>
  </si>
  <si>
    <t>$992,128,564</t>
  </si>
  <si>
    <t>$985,834,715</t>
  </si>
  <si>
    <t>$947,482,988</t>
  </si>
  <si>
    <t>$916,487,020</t>
  </si>
  <si>
    <t>$911,821,053</t>
  </si>
  <si>
    <t>$893,099,591</t>
  </si>
  <si>
    <t>$887,441,259</t>
  </si>
  <si>
    <t>$879,365,570</t>
  </si>
  <si>
    <t>$867,699,218</t>
  </si>
  <si>
    <t>$797,932,413</t>
  </si>
  <si>
    <t>$778,311,567</t>
  </si>
  <si>
    <t>$770,807,339</t>
  </si>
  <si>
    <t>$764,526,168</t>
  </si>
  <si>
    <t>$746,563,501</t>
  </si>
  <si>
    <t>$739,701,795</t>
  </si>
  <si>
    <t>$731,745,058</t>
  </si>
  <si>
    <t>$711,764,490</t>
  </si>
  <si>
    <t>$698,422,495</t>
  </si>
  <si>
    <t>$694,690,602</t>
  </si>
  <si>
    <t>$646,504,713</t>
  </si>
  <si>
    <t>$627,412,107</t>
  </si>
  <si>
    <t>$620,964,141</t>
  </si>
  <si>
    <t>$587,935,273</t>
  </si>
  <si>
    <t>$567,556,353</t>
  </si>
  <si>
    <t>$567,263,416</t>
  </si>
  <si>
    <t>$556,114,112</t>
  </si>
  <si>
    <t>$549,209,650</t>
  </si>
  <si>
    <t>$548,697,383</t>
  </si>
  <si>
    <t>$543,219,617</t>
  </si>
  <si>
    <t>$483,806,621</t>
  </si>
  <si>
    <t>$481,910,433</t>
  </si>
  <si>
    <t>$466,210,590</t>
  </si>
  <si>
    <t>$454,031,314</t>
  </si>
  <si>
    <t>$448,249,777</t>
  </si>
  <si>
    <t>$441,488,627</t>
  </si>
  <si>
    <t>$413,776,432</t>
  </si>
  <si>
    <t>$398,715,133</t>
  </si>
  <si>
    <t>$396,007,863</t>
  </si>
  <si>
    <t>$389,810,609</t>
  </si>
  <si>
    <t>$384,141,349</t>
  </si>
  <si>
    <t>$382,366,322</t>
  </si>
  <si>
    <t>$358,604,546</t>
  </si>
  <si>
    <t>$356,917,896</t>
  </si>
  <si>
    <t>$346,654,810</t>
  </si>
  <si>
    <t>$344,725,068</t>
  </si>
  <si>
    <t>$340,370,422</t>
  </si>
  <si>
    <t>$2.77</t>
  </si>
  <si>
    <t>$335,244,876</t>
  </si>
  <si>
    <t>$326,347,617</t>
  </si>
  <si>
    <t>$320,870,273</t>
  </si>
  <si>
    <t>$320,777,353</t>
  </si>
  <si>
    <t>$318,132,549</t>
  </si>
  <si>
    <t>$315,653,117</t>
  </si>
  <si>
    <t>$314,112,361</t>
  </si>
  <si>
    <t>$309,815,864</t>
  </si>
  <si>
    <t>$309,069,079</t>
  </si>
  <si>
    <t>$307,939,918</t>
  </si>
  <si>
    <t>$302,886,125</t>
  </si>
  <si>
    <t>$296,463,048</t>
  </si>
  <si>
    <t>$291,245,778</t>
  </si>
  <si>
    <t>$286,868,518</t>
  </si>
  <si>
    <t>$282,121,877</t>
  </si>
  <si>
    <t>$275,599,727</t>
  </si>
  <si>
    <t>$273,727,226</t>
  </si>
  <si>
    <t>$269,162,407</t>
  </si>
  <si>
    <t>$266,823,195</t>
  </si>
  <si>
    <t>$266,671,653</t>
  </si>
  <si>
    <t>$264,388,721</t>
  </si>
  <si>
    <t>$262,160,628</t>
  </si>
  <si>
    <t>$255,576,536</t>
  </si>
  <si>
    <t>$252,998,729</t>
  </si>
  <si>
    <t>$252,747,610</t>
  </si>
  <si>
    <t>$251,270,927</t>
  </si>
  <si>
    <t>$247,126,217</t>
  </si>
  <si>
    <t>$245,367,142</t>
  </si>
  <si>
    <t>$244,171,919</t>
  </si>
  <si>
    <t>$242,335,657</t>
  </si>
  <si>
    <t>$237,411,829</t>
  </si>
  <si>
    <t>$235,538,607</t>
  </si>
  <si>
    <t>$232,457,105</t>
  </si>
  <si>
    <t>$231,521,375</t>
  </si>
  <si>
    <t>$230,385,087</t>
  </si>
  <si>
    <t>$229,440,927</t>
  </si>
  <si>
    <t>$228,144,757</t>
  </si>
  <si>
    <t>$224,948,229</t>
  </si>
  <si>
    <t>$218,714,737</t>
  </si>
  <si>
    <t>$213,428,432</t>
  </si>
  <si>
    <t>$206,723,613</t>
  </si>
  <si>
    <t>$206,223,128</t>
  </si>
  <si>
    <t>$200,449,389</t>
  </si>
  <si>
    <t>$200,446,218</t>
  </si>
  <si>
    <t>$196,502,221</t>
  </si>
  <si>
    <t>$196,234,816</t>
  </si>
  <si>
    <t>$191,792,301</t>
  </si>
  <si>
    <t>$190,271,936</t>
  </si>
  <si>
    <t>$189,565,381</t>
  </si>
  <si>
    <t>$188,829,508</t>
  </si>
  <si>
    <t>$187,968,451</t>
  </si>
  <si>
    <t>$186,658,505</t>
  </si>
  <si>
    <t>$184,525,836</t>
  </si>
  <si>
    <t>$1.13</t>
  </si>
  <si>
    <t>$183,617,428</t>
  </si>
  <si>
    <t>$180,630,946</t>
  </si>
  <si>
    <t>$179,809,114</t>
  </si>
  <si>
    <t>$178,869,811</t>
  </si>
  <si>
    <t>$178,767,373</t>
  </si>
  <si>
    <t>$177,286,470</t>
  </si>
  <si>
    <t>$177,269,666</t>
  </si>
  <si>
    <t>$1.24</t>
  </si>
  <si>
    <t>$175,291,808</t>
  </si>
  <si>
    <t>$173,285,028</t>
  </si>
  <si>
    <t>$173,004,367</t>
  </si>
  <si>
    <t>$172,821,879</t>
  </si>
  <si>
    <t>$171,226,019</t>
  </si>
  <si>
    <t>$164,222,815</t>
  </si>
  <si>
    <t>$164,020,998</t>
  </si>
  <si>
    <t>$223,095</t>
  </si>
  <si>
    <t>$161,131,133</t>
  </si>
  <si>
    <t>$160,466,101</t>
  </si>
  <si>
    <t>$160,087,963</t>
  </si>
  <si>
    <t>$159,154,366</t>
  </si>
  <si>
    <t>$159,064,723</t>
  </si>
  <si>
    <t>$157,525,728</t>
  </si>
  <si>
    <t>$157,236,955</t>
  </si>
  <si>
    <t>$155,918,154</t>
  </si>
  <si>
    <t>$153,239,443</t>
  </si>
  <si>
    <t>$153,174,910</t>
  </si>
  <si>
    <t>$151,417,911</t>
  </si>
  <si>
    <t>$148,821,451</t>
  </si>
  <si>
    <t>$148,486,314</t>
  </si>
  <si>
    <t>$147,775,349</t>
  </si>
  <si>
    <t>$147,704,107</t>
  </si>
  <si>
    <t>tether gold (XAUT)</t>
  </si>
  <si>
    <t xml:space="preserve">Tether Gold XAUT XAUT </t>
  </si>
  <si>
    <t>$147,326,778</t>
  </si>
  <si>
    <t>tether gold (XAUT) 7d chart</t>
  </si>
  <si>
    <t>$1.17</t>
  </si>
  <si>
    <t>$1.37</t>
  </si>
  <si>
    <t>$4.82</t>
  </si>
  <si>
    <t>$5.57</t>
  </si>
  <si>
    <t>$2.63</t>
  </si>
  <si>
    <t>$0.997606</t>
  </si>
  <si>
    <t>$762,547</t>
  </si>
  <si>
    <t>$2.31</t>
  </si>
  <si>
    <t>$2.46</t>
  </si>
  <si>
    <t>$1.71</t>
  </si>
  <si>
    <t>$2,788.22</t>
  </si>
  <si>
    <t>$10,131,307</t>
  </si>
  <si>
    <t>$9.24</t>
  </si>
  <si>
    <t>$4.94</t>
  </si>
  <si>
    <t>$107.65</t>
  </si>
  <si>
    <t>$211,725</t>
  </si>
  <si>
    <t>$2.04</t>
  </si>
  <si>
    <t>$1.57</t>
  </si>
  <si>
    <t>$56.61</t>
  </si>
  <si>
    <t>$13,371,577</t>
  </si>
  <si>
    <t>$5.48</t>
  </si>
  <si>
    <t>$0.022327843083</t>
  </si>
  <si>
    <t>$20,337,234</t>
  </si>
  <si>
    <t>$0.021743681028</t>
  </si>
  <si>
    <t>$37,548,247</t>
  </si>
  <si>
    <t>$1.04</t>
  </si>
  <si>
    <t>$145.43</t>
  </si>
  <si>
    <t>$440,055</t>
  </si>
  <si>
    <t>$1.21</t>
  </si>
  <si>
    <t>$4,336,768</t>
  </si>
  <si>
    <t>24.2735204308203 10.2%</t>
  </si>
  <si>
    <t>0.415590933562169 0.5%</t>
  </si>
  <si>
    <t>63.0586809628239 -1.8%</t>
  </si>
  <si>
    <t>3.98439439595286 13.8%</t>
  </si>
  <si>
    <t>0.291199349998195 26.6%</t>
  </si>
  <si>
    <t>33.3334362002324 -3.4%</t>
  </si>
  <si>
    <t>362.204708846547 7.0%</t>
  </si>
  <si>
    <t>$2.24</t>
  </si>
  <si>
    <t>$1.93</t>
  </si>
  <si>
    <t>$0.021441547151</t>
  </si>
  <si>
    <t>$3,115,241</t>
  </si>
  <si>
    <t>$3.78</t>
  </si>
  <si>
    <t>$4.56</t>
  </si>
  <si>
    <t>$118,408</t>
  </si>
  <si>
    <t>$3.24</t>
  </si>
  <si>
    <t>$2,819.33</t>
  </si>
  <si>
    <t>$11,702,540</t>
  </si>
  <si>
    <t>$3.09</t>
  </si>
  <si>
    <t>$1.50</t>
  </si>
  <si>
    <t>$0.377463</t>
  </si>
  <si>
    <t>$3,658,677</t>
  </si>
  <si>
    <t>$3.15</t>
  </si>
  <si>
    <t>$0.001000614545</t>
  </si>
  <si>
    <t>$8,011.05</t>
  </si>
  <si>
    <t>$2.18</t>
  </si>
  <si>
    <t>$817,338</t>
  </si>
  <si>
    <t>$8.21</t>
  </si>
  <si>
    <t>$39.77</t>
  </si>
  <si>
    <t>$4.58</t>
  </si>
  <si>
    <t>$0.236504</t>
  </si>
  <si>
    <t>$89,099</t>
  </si>
  <si>
    <t>$0.312361</t>
  </si>
  <si>
    <t>$47,141</t>
  </si>
  <si>
    <t>$0.457584</t>
  </si>
  <si>
    <t>$309,195</t>
  </si>
  <si>
    <t>$41,559</t>
  </si>
  <si>
    <t>$10,470,980</t>
  </si>
  <si>
    <t>$2.73</t>
  </si>
  <si>
    <t>$8.24</t>
  </si>
  <si>
    <t>$6.36</t>
  </si>
  <si>
    <t>$4.15</t>
  </si>
  <si>
    <t>$2,642.99</t>
  </si>
  <si>
    <t>$9,176,878</t>
  </si>
  <si>
    <t xml:space="preserve">The global cryptocurrency market cap today is $1.9 Trillion, a -0.5% change in the last 24 hours. Read More </t>
  </si>
  <si>
    <t>Total cryptocurrency trading volume in the last day is at $112 Billion. Bitcoin dominance is at 40.8% and Ethereum dominance is at 17.4%. CoinGecko is now tracking 9,441 cryptocurrencies. Popular trends of the industry right now are DeFi and Play to Earn.</t>
  </si>
  <si>
    <t xml:space="preserve">$1,901,778,107,790 </t>
  </si>
  <si>
    <t xml:space="preserve">$111,968,571,960 </t>
  </si>
  <si>
    <t>$49.48</t>
  </si>
  <si>
    <t>$18.35</t>
  </si>
  <si>
    <t>$3.71</t>
  </si>
  <si>
    <t>$1.06</t>
  </si>
  <si>
    <t>$39.73</t>
  </si>
  <si>
    <t>$23.07</t>
  </si>
  <si>
    <t>$5.62</t>
  </si>
  <si>
    <t>$6.47</t>
  </si>
  <si>
    <t>$41,284</t>
  </si>
  <si>
    <t>$376,981</t>
  </si>
  <si>
    <t>$7.85</t>
  </si>
  <si>
    <t>$3.93</t>
  </si>
  <si>
    <t>$0.999259</t>
  </si>
  <si>
    <t>$10,708,298</t>
  </si>
  <si>
    <t>$63.95</t>
  </si>
  <si>
    <t>$9.06</t>
  </si>
  <si>
    <t>$287.95</t>
  </si>
  <si>
    <t>$29,919,786</t>
  </si>
  <si>
    <t>$12.34</t>
  </si>
  <si>
    <t>$3,475,105</t>
  </si>
  <si>
    <t>$0.022744714064</t>
  </si>
  <si>
    <t>$1,738,187</t>
  </si>
  <si>
    <t>$2.14</t>
  </si>
  <si>
    <t>$1,422,164</t>
  </si>
  <si>
    <t>$2.57</t>
  </si>
  <si>
    <t>$3,215,317</t>
  </si>
  <si>
    <t>$1.69</t>
  </si>
  <si>
    <t>$1.63</t>
  </si>
  <si>
    <t>$0.304680</t>
  </si>
  <si>
    <t>$4,338,310</t>
  </si>
  <si>
    <t>$0.290498</t>
  </si>
  <si>
    <t>$3,498,190</t>
  </si>
  <si>
    <t>$1,489,344</t>
  </si>
  <si>
    <t>$1.81</t>
  </si>
  <si>
    <t>$45.86</t>
  </si>
  <si>
    <t>$25,388,336</t>
  </si>
  <si>
    <t>$8.65</t>
  </si>
  <si>
    <t>$9,315,281</t>
  </si>
  <si>
    <t>$0.490392</t>
  </si>
  <si>
    <t>$695,319</t>
  </si>
  <si>
    <t>$2.65</t>
  </si>
  <si>
    <t>$0.265155</t>
  </si>
  <si>
    <t>$3,469,900</t>
  </si>
  <si>
    <t>$0.073773544940</t>
  </si>
  <si>
    <t>$8,960,098</t>
  </si>
  <si>
    <t>$2,904,142</t>
  </si>
  <si>
    <t>$1,728.84</t>
  </si>
  <si>
    <t>$115,621</t>
  </si>
  <si>
    <t>$41,257</t>
  </si>
  <si>
    <t>$29,615,425,222</t>
  </si>
  <si>
    <t>$776,942,118,308</t>
  </si>
  <si>
    <t>$2,824.97</t>
  </si>
  <si>
    <t>$17,493,096,318</t>
  </si>
  <si>
    <t>$332,575,660,060</t>
  </si>
  <si>
    <t>$57,269,384,551</t>
  </si>
  <si>
    <t>$69,594,675,817</t>
  </si>
  <si>
    <t>$2.05</t>
  </si>
  <si>
    <t>$2,401,375,781</t>
  </si>
  <si>
    <t>$363.82</t>
  </si>
  <si>
    <t>$2,152,601,254</t>
  </si>
  <si>
    <t>$56,207,605,820</t>
  </si>
  <si>
    <t>$0.917213</t>
  </si>
  <si>
    <t>$4,050,251,707</t>
  </si>
  <si>
    <t>$42,880,097,834</t>
  </si>
  <si>
    <t>$133.04</t>
  </si>
  <si>
    <t>$2,411,715,854</t>
  </si>
  <si>
    <t>$39,585,276,012</t>
  </si>
  <si>
    <t>$3,328,498,755</t>
  </si>
  <si>
    <t>$26.67</t>
  </si>
  <si>
    <t>$1,132,334,338</t>
  </si>
  <si>
    <t>$27,613,203,398</t>
  </si>
  <si>
    <t>$0.197284</t>
  </si>
  <si>
    <t>$789,651,090</t>
  </si>
  <si>
    <t>$63.55</t>
  </si>
  <si>
    <t>$1,252,619,446</t>
  </si>
  <si>
    <t>$13,999,212,523</t>
  </si>
  <si>
    <t>$3,847,296,512</t>
  </si>
  <si>
    <t>$33.52</t>
  </si>
  <si>
    <t>$1,057,930,468</t>
  </si>
  <si>
    <t>$22.68</t>
  </si>
  <si>
    <t>$827,484,462</t>
  </si>
  <si>
    <t>$11,787,945,299</t>
  </si>
  <si>
    <t>$22.40</t>
  </si>
  <si>
    <t>$947,395,011</t>
  </si>
  <si>
    <t>$143.93</t>
  </si>
  <si>
    <t>$2,552,460,361</t>
  </si>
  <si>
    <t>$9,609,448,035</t>
  </si>
  <si>
    <t>$440,439,823</t>
  </si>
  <si>
    <t>$9,415,912,024</t>
  </si>
  <si>
    <t>$33.16</t>
  </si>
  <si>
    <t>$875,042,258</t>
  </si>
  <si>
    <t>$475.26</t>
  </si>
  <si>
    <t>$6,586,183,450</t>
  </si>
  <si>
    <t>$41,182</t>
  </si>
  <si>
    <t>$491,399,482</t>
  </si>
  <si>
    <t>$1.09</t>
  </si>
  <si>
    <t>$519,761,135</t>
  </si>
  <si>
    <t>$42.11</t>
  </si>
  <si>
    <t>$256,034,777</t>
  </si>
  <si>
    <t>$0.268630</t>
  </si>
  <si>
    <t>$425,419,243</t>
  </si>
  <si>
    <t>$6,380,316,970</t>
  </si>
  <si>
    <t>$442,480,956</t>
  </si>
  <si>
    <t>$56.15</t>
  </si>
  <si>
    <t>$1,035,843,413</t>
  </si>
  <si>
    <t>$6,160,450,489</t>
  </si>
  <si>
    <t>$0.085374883067</t>
  </si>
  <si>
    <t>$1,123,421,346</t>
  </si>
  <si>
    <t>$6,119,237,629</t>
  </si>
  <si>
    <t>$462,891,395</t>
  </si>
  <si>
    <t>$5,967,038,076</t>
  </si>
  <si>
    <t>$45.25</t>
  </si>
  <si>
    <t>$4,047,427,847</t>
  </si>
  <si>
    <t>$0.083527245481</t>
  </si>
  <si>
    <t>$321,294,108</t>
  </si>
  <si>
    <t>$5,577,194,605</t>
  </si>
  <si>
    <t>$4.78</t>
  </si>
  <si>
    <t>$231,320,050</t>
  </si>
  <si>
    <t>$4,783,827,217</t>
  </si>
  <si>
    <t>$5.50</t>
  </si>
  <si>
    <t>$473,611,780</t>
  </si>
  <si>
    <t>$4,741,537,704</t>
  </si>
  <si>
    <t>$0.000240767740</t>
  </si>
  <si>
    <t>$160,800,597</t>
  </si>
  <si>
    <t>$16.06</t>
  </si>
  <si>
    <t>$534,939,296</t>
  </si>
  <si>
    <t>$4,258,505,303</t>
  </si>
  <si>
    <t>$231.33</t>
  </si>
  <si>
    <t>$205,924,722</t>
  </si>
  <si>
    <t>$218,713,868</t>
  </si>
  <si>
    <t>$4,157,184,815</t>
  </si>
  <si>
    <t>$69.41</t>
  </si>
  <si>
    <t>$606,889,225</t>
  </si>
  <si>
    <t>$4,018,894,662</t>
  </si>
  <si>
    <t>$198.69</t>
  </si>
  <si>
    <t>$164,852,270</t>
  </si>
  <si>
    <t>$0.148160</t>
  </si>
  <si>
    <t>$35,157,285</t>
  </si>
  <si>
    <t>$3,742,970,385</t>
  </si>
  <si>
    <t>$270.98</t>
  </si>
  <si>
    <t>$52,943,198</t>
  </si>
  <si>
    <t>$3,624,630,512</t>
  </si>
  <si>
    <t>$1,070,512,836</t>
  </si>
  <si>
    <t>$3,592,730,879</t>
  </si>
  <si>
    <t>$0.000006971752</t>
  </si>
  <si>
    <t>$179,307,700</t>
  </si>
  <si>
    <t>$3,470,056,946</t>
  </si>
  <si>
    <t>$262.72</t>
  </si>
  <si>
    <t>$208,687,152</t>
  </si>
  <si>
    <t>$3,465,047,793</t>
  </si>
  <si>
    <t>$0.308674</t>
  </si>
  <si>
    <t>$133,191,055</t>
  </si>
  <si>
    <t>$3,175,913,316</t>
  </si>
  <si>
    <t>$0.627468</t>
  </si>
  <si>
    <t>$81,275,284</t>
  </si>
  <si>
    <t>$6.53</t>
  </si>
  <si>
    <t>$292,395,630</t>
  </si>
  <si>
    <t>$431,631,006</t>
  </si>
  <si>
    <t>$2,980,624,868</t>
  </si>
  <si>
    <t>$110,220,377</t>
  </si>
  <si>
    <t>$317.18</t>
  </si>
  <si>
    <t>$153,208,791</t>
  </si>
  <si>
    <t>$2,848,264,158</t>
  </si>
  <si>
    <t>$2.93</t>
  </si>
  <si>
    <t>$497,201</t>
  </si>
  <si>
    <t>$2,768,243,224</t>
  </si>
  <si>
    <t>$71,922,878</t>
  </si>
  <si>
    <t>$2,683,838,907</t>
  </si>
  <si>
    <t>$36.83</t>
  </si>
  <si>
    <t>$276,377,146</t>
  </si>
  <si>
    <t>$2,598,324,223</t>
  </si>
  <si>
    <t>$30,559,799</t>
  </si>
  <si>
    <t>$69,632,293</t>
  </si>
  <si>
    <t>$125.06</t>
  </si>
  <si>
    <t>$257,209,701</t>
  </si>
  <si>
    <t>$155,222,903</t>
  </si>
  <si>
    <t>$2,307,976,326</t>
  </si>
  <si>
    <t>$9,754,697</t>
  </si>
  <si>
    <t>$2,122,649,915</t>
  </si>
  <si>
    <t>$0.043101064035</t>
  </si>
  <si>
    <t>$9,950,694</t>
  </si>
  <si>
    <t>$2,069,451,425</t>
  </si>
  <si>
    <t>$0.003024705784</t>
  </si>
  <si>
    <t>$165,590,677</t>
  </si>
  <si>
    <t>$1,993,498,534</t>
  </si>
  <si>
    <t>$2,211.18</t>
  </si>
  <si>
    <t>$75,610,046</t>
  </si>
  <si>
    <t>$318.55</t>
  </si>
  <si>
    <t>$78,854,484</t>
  </si>
  <si>
    <t>$1,816,519,655</t>
  </si>
  <si>
    <t>$9.37</t>
  </si>
  <si>
    <t>$368,620,658</t>
  </si>
  <si>
    <t>$1,806,012,230</t>
  </si>
  <si>
    <t>$145,163,407</t>
  </si>
  <si>
    <t>$50,432,301</t>
  </si>
  <si>
    <t>$16.75</t>
  </si>
  <si>
    <t>$17,792,571</t>
  </si>
  <si>
    <t>$9.29</t>
  </si>
  <si>
    <t>$68,747,217</t>
  </si>
  <si>
    <t>$151.89</t>
  </si>
  <si>
    <t>$333,295,344</t>
  </si>
  <si>
    <t>$0.128071</t>
  </si>
  <si>
    <t>$8,882,294</t>
  </si>
  <si>
    <t>$722.78</t>
  </si>
  <si>
    <t>$34,217,256</t>
  </si>
  <si>
    <t>$0.142072</t>
  </si>
  <si>
    <t>$94,962,102</t>
  </si>
  <si>
    <t>$1,501,893,876</t>
  </si>
  <si>
    <t>$10.43</t>
  </si>
  <si>
    <t>$1,137,742,088</t>
  </si>
  <si>
    <t>$1,462,683,832</t>
  </si>
  <si>
    <t>$101,151,075</t>
  </si>
  <si>
    <t>$0.254343</t>
  </si>
  <si>
    <t>$16,455,702</t>
  </si>
  <si>
    <t>$0.007582544837</t>
  </si>
  <si>
    <t>$95,598,963</t>
  </si>
  <si>
    <t>$1,346,525,225</t>
  </si>
  <si>
    <t>$0.246683</t>
  </si>
  <si>
    <t>$129,556,979</t>
  </si>
  <si>
    <t>$1,318,492,517</t>
  </si>
  <si>
    <t>$98.51</t>
  </si>
  <si>
    <t>$14,129,370</t>
  </si>
  <si>
    <t>$122,256,288</t>
  </si>
  <si>
    <t>$24.36</t>
  </si>
  <si>
    <t>$1,132,189,654</t>
  </si>
  <si>
    <t>$0.136854</t>
  </si>
  <si>
    <t>$37,530,006</t>
  </si>
  <si>
    <t>$0.053618930322</t>
  </si>
  <si>
    <t>$277,352,792</t>
  </si>
  <si>
    <t>$1,221,558,938</t>
  </si>
  <si>
    <t>$1.14</t>
  </si>
  <si>
    <t>$17,132,476</t>
  </si>
  <si>
    <t>$1,195,083,338</t>
  </si>
  <si>
    <t>$102.59</t>
  </si>
  <si>
    <t>$259,190,916</t>
  </si>
  <si>
    <t>$52,713,719</t>
  </si>
  <si>
    <t>$0.005150369199</t>
  </si>
  <si>
    <t>$5,769,043</t>
  </si>
  <si>
    <t>$1,121,145,250</t>
  </si>
  <si>
    <t>$10,566,488</t>
  </si>
  <si>
    <t>$1,023,589,611</t>
  </si>
  <si>
    <t>$0.080447602708</t>
  </si>
  <si>
    <t>$125,451,297</t>
  </si>
  <si>
    <t>$1,009,975,333</t>
  </si>
  <si>
    <t>$28,260</t>
  </si>
  <si>
    <t>$259,649,643</t>
  </si>
  <si>
    <t>$14.99</t>
  </si>
  <si>
    <t>$27,666,555</t>
  </si>
  <si>
    <t>$50,537,972</t>
  </si>
  <si>
    <t>$48,969,879</t>
  </si>
  <si>
    <t>$6.89</t>
  </si>
  <si>
    <t>$145,429,521</t>
  </si>
  <si>
    <t>$917,396,902</t>
  </si>
  <si>
    <t>$8.80</t>
  </si>
  <si>
    <t>$192,293,523</t>
  </si>
  <si>
    <t>$0.090975903665</t>
  </si>
  <si>
    <t>$35,986,447</t>
  </si>
  <si>
    <t>$186,871,939</t>
  </si>
  <si>
    <t>$0.586584</t>
  </si>
  <si>
    <t>$82,303,973</t>
  </si>
  <si>
    <t>$874,702,491</t>
  </si>
  <si>
    <t>$50.19</t>
  </si>
  <si>
    <t>$28,927,812</t>
  </si>
  <si>
    <t>$0.647819</t>
  </si>
  <si>
    <t>$71,368,687</t>
  </si>
  <si>
    <t>$860,480,365</t>
  </si>
  <si>
    <t>$0.014746225228</t>
  </si>
  <si>
    <t>$7,267,736</t>
  </si>
  <si>
    <t>$844,802,497</t>
  </si>
  <si>
    <t>$0.143890</t>
  </si>
  <si>
    <t>$357,720,823</t>
  </si>
  <si>
    <t>$812,591,219</t>
  </si>
  <si>
    <t>$0.907770</t>
  </si>
  <si>
    <t>$116,234,905</t>
  </si>
  <si>
    <t>$14,419,358</t>
  </si>
  <si>
    <t>$784,756,622</t>
  </si>
  <si>
    <t>$0.000001355406</t>
  </si>
  <si>
    <t>$7,668,336</t>
  </si>
  <si>
    <t>$779,188,373</t>
  </si>
  <si>
    <t>$14.26</t>
  </si>
  <si>
    <t>$105,637,145</t>
  </si>
  <si>
    <t>$9.90</t>
  </si>
  <si>
    <t>$7,074,303</t>
  </si>
  <si>
    <t>$7,152,771</t>
  </si>
  <si>
    <t>$766,961,196</t>
  </si>
  <si>
    <t>$3.29</t>
  </si>
  <si>
    <t>$34,571,899</t>
  </si>
  <si>
    <t>$764,502,064</t>
  </si>
  <si>
    <t>$59,514,415</t>
  </si>
  <si>
    <t>$11.09</t>
  </si>
  <si>
    <t>$1,000,768</t>
  </si>
  <si>
    <t>$36,486,105</t>
  </si>
  <si>
    <t>$41,076</t>
  </si>
  <si>
    <t>$1,686,267</t>
  </si>
  <si>
    <t>$0.822759</t>
  </si>
  <si>
    <t>$84,399,615</t>
  </si>
  <si>
    <t>$0.013615220215</t>
  </si>
  <si>
    <t>$41,097,926</t>
  </si>
  <si>
    <t>$666,171,821</t>
  </si>
  <si>
    <t>$82,753,825</t>
  </si>
  <si>
    <t>$0.722130</t>
  </si>
  <si>
    <t>$93,620,232</t>
  </si>
  <si>
    <t>$632,106,458</t>
  </si>
  <si>
    <t>$0.243944</t>
  </si>
  <si>
    <t>$11,809,998</t>
  </si>
  <si>
    <t>$5,956,027</t>
  </si>
  <si>
    <t>$0.057490044329</t>
  </si>
  <si>
    <t>$26,394,501</t>
  </si>
  <si>
    <t>$0.041819737191</t>
  </si>
  <si>
    <t>$14,501,846</t>
  </si>
  <si>
    <t>$615,416,974</t>
  </si>
  <si>
    <t>$0.081364517295</t>
  </si>
  <si>
    <t>$145,854,163</t>
  </si>
  <si>
    <t>$613,691,593</t>
  </si>
  <si>
    <t>$4,881,913</t>
  </si>
  <si>
    <t>$0.601689</t>
  </si>
  <si>
    <t>$1,926,562</t>
  </si>
  <si>
    <t>$572,660,054</t>
  </si>
  <si>
    <t>$0.074053631253</t>
  </si>
  <si>
    <t>$28,633,575</t>
  </si>
  <si>
    <t>$3.03</t>
  </si>
  <si>
    <t>$125,305,309</t>
  </si>
  <si>
    <t>$4.19</t>
  </si>
  <si>
    <t>$15,004,327</t>
  </si>
  <si>
    <t>$8.73</t>
  </si>
  <si>
    <t>$39,320,757</t>
  </si>
  <si>
    <t>$549,775,482</t>
  </si>
  <si>
    <t>$0.615581</t>
  </si>
  <si>
    <t>$426,641,922</t>
  </si>
  <si>
    <t>$90.58</t>
  </si>
  <si>
    <t>$1,950,399</t>
  </si>
  <si>
    <t>$0.983033</t>
  </si>
  <si>
    <t>$8,829,046</t>
  </si>
  <si>
    <t>$539,986,600</t>
  </si>
  <si>
    <t>$0.598758</t>
  </si>
  <si>
    <t>$67,887,349</t>
  </si>
  <si>
    <t>$534,240,364</t>
  </si>
  <si>
    <t>$30.31</t>
  </si>
  <si>
    <t>$5,093,726</t>
  </si>
  <si>
    <t>$490,318,718</t>
  </si>
  <si>
    <t>$81,792,618</t>
  </si>
  <si>
    <t>$0.107868</t>
  </si>
  <si>
    <t>$13,573,010</t>
  </si>
  <si>
    <t>$0.683310</t>
  </si>
  <si>
    <t>$55,964,227</t>
  </si>
  <si>
    <t>$470,250,630</t>
  </si>
  <si>
    <t>$5.03</t>
  </si>
  <si>
    <t>$118,633,821</t>
  </si>
  <si>
    <t>$10.49</t>
  </si>
  <si>
    <t>$8,589,077</t>
  </si>
  <si>
    <t>$460,245,961</t>
  </si>
  <si>
    <t>$0.526927</t>
  </si>
  <si>
    <t>$10,292,088</t>
  </si>
  <si>
    <t>$460,045,376</t>
  </si>
  <si>
    <t>$455,816,407</t>
  </si>
  <si>
    <t>$8,973,581</t>
  </si>
  <si>
    <t>$453,982,395</t>
  </si>
  <si>
    <t>$43,972,984</t>
  </si>
  <si>
    <t>$452,479,923</t>
  </si>
  <si>
    <t>$3,299,920</t>
  </si>
  <si>
    <t>$0.354875</t>
  </si>
  <si>
    <t>$33,957,008</t>
  </si>
  <si>
    <t>$2.42</t>
  </si>
  <si>
    <t>$73,763,064</t>
  </si>
  <si>
    <t>$436,967,983</t>
  </si>
  <si>
    <t>$0.431507</t>
  </si>
  <si>
    <t>$2,572,482</t>
  </si>
  <si>
    <t>$431,689,956</t>
  </si>
  <si>
    <t>$0.501219</t>
  </si>
  <si>
    <t>$2,824,257</t>
  </si>
  <si>
    <t>$415,417,051</t>
  </si>
  <si>
    <t>$0.780903</t>
  </si>
  <si>
    <t>$76,633,819</t>
  </si>
  <si>
    <t>$403,522,962</t>
  </si>
  <si>
    <t>$7.73</t>
  </si>
  <si>
    <t>$4,429,928</t>
  </si>
  <si>
    <t>$396,662,689</t>
  </si>
  <si>
    <t>$16.34</t>
  </si>
  <si>
    <t>$27,761,198</t>
  </si>
  <si>
    <t>$0.004108617339</t>
  </si>
  <si>
    <t>$46,139,137</t>
  </si>
  <si>
    <t>$392,990,583</t>
  </si>
  <si>
    <t>$1,965,748</t>
  </si>
  <si>
    <t>$8,310,762</t>
  </si>
  <si>
    <t>$85,009,319</t>
  </si>
  <si>
    <t>$0.027791260163</t>
  </si>
  <si>
    <t>$39,421,031</t>
  </si>
  <si>
    <t>$365,755,032</t>
  </si>
  <si>
    <t>$0.198588</t>
  </si>
  <si>
    <t>$15,032,394</t>
  </si>
  <si>
    <t>$236.35</t>
  </si>
  <si>
    <t>$5,754,829</t>
  </si>
  <si>
    <t>$356,744,804</t>
  </si>
  <si>
    <t>$347,281,059</t>
  </si>
  <si>
    <t>$9,609,946</t>
  </si>
  <si>
    <t>$34,175,736</t>
  </si>
  <si>
    <t>$0.012248262816</t>
  </si>
  <si>
    <t>$83,928,009</t>
  </si>
  <si>
    <t>$343,118,610</t>
  </si>
  <si>
    <t>$0.274190</t>
  </si>
  <si>
    <t>$26,639,623</t>
  </si>
  <si>
    <t>$2.76</t>
  </si>
  <si>
    <t>$6,347,440</t>
  </si>
  <si>
    <t>$0.820928</t>
  </si>
  <si>
    <t>$36,080,743</t>
  </si>
  <si>
    <t>$333,567,633</t>
  </si>
  <si>
    <t>$0.008090888674</t>
  </si>
  <si>
    <t>$16,091,906</t>
  </si>
  <si>
    <t>$8.11</t>
  </si>
  <si>
    <t>$1,854,882</t>
  </si>
  <si>
    <t>$321,229,667</t>
  </si>
  <si>
    <t>$0.934362</t>
  </si>
  <si>
    <t>$32,075,355</t>
  </si>
  <si>
    <t>$0.026790288337</t>
  </si>
  <si>
    <t>$8,410,942</t>
  </si>
  <si>
    <t>$0.418086</t>
  </si>
  <si>
    <t>$3,088,550</t>
  </si>
  <si>
    <t>$318,646,493</t>
  </si>
  <si>
    <t>$21.07</t>
  </si>
  <si>
    <t>$4,533,739</t>
  </si>
  <si>
    <t>$0.058066528421</t>
  </si>
  <si>
    <t>$52,615,922</t>
  </si>
  <si>
    <t>$61,853,599</t>
  </si>
  <si>
    <t>$1,743.52</t>
  </si>
  <si>
    <t>$6,026,612</t>
  </si>
  <si>
    <t>$0.305487</t>
  </si>
  <si>
    <t>$36,933,372</t>
  </si>
  <si>
    <t>$43,794,386</t>
  </si>
  <si>
    <t>$304,340,477</t>
  </si>
  <si>
    <t>$26,364,782</t>
  </si>
  <si>
    <t>$9,227,160</t>
  </si>
  <si>
    <t>$301,764,659</t>
  </si>
  <si>
    <t>$0.000392998813</t>
  </si>
  <si>
    <t>$15,356,518</t>
  </si>
  <si>
    <t>$301,154,991</t>
  </si>
  <si>
    <t>$0.018184049177</t>
  </si>
  <si>
    <t>$14,000,927</t>
  </si>
  <si>
    <t>$299,668,142</t>
  </si>
  <si>
    <t>$16,576,372</t>
  </si>
  <si>
    <t>$465.82</t>
  </si>
  <si>
    <t>$194,439,653</t>
  </si>
  <si>
    <t>$0.132469</t>
  </si>
  <si>
    <t>$5,378,815</t>
  </si>
  <si>
    <t>$291,852,479</t>
  </si>
  <si>
    <t>$42,265,165</t>
  </si>
  <si>
    <t>$0.097595633938</t>
  </si>
  <si>
    <t>$8,357,085</t>
  </si>
  <si>
    <t>$284,519,663</t>
  </si>
  <si>
    <t>$6.81</t>
  </si>
  <si>
    <t>$21,045,461</t>
  </si>
  <si>
    <t>$283,446,349</t>
  </si>
  <si>
    <t>$2,998,032</t>
  </si>
  <si>
    <t>$280,600,452</t>
  </si>
  <si>
    <t>$1,996,710</t>
  </si>
  <si>
    <t>$145.54</t>
  </si>
  <si>
    <t>$27,000,777</t>
  </si>
  <si>
    <t>$0.587486</t>
  </si>
  <si>
    <t>$17,690,845</t>
  </si>
  <si>
    <t>$0.068615145627</t>
  </si>
  <si>
    <t>$21,670,179</t>
  </si>
  <si>
    <t>$264,858,047</t>
  </si>
  <si>
    <t>$0.651640</t>
  </si>
  <si>
    <t>$2,146,552</t>
  </si>
  <si>
    <t>$261,406,804</t>
  </si>
  <si>
    <t>$0.252996</t>
  </si>
  <si>
    <t>$11,878,955</t>
  </si>
  <si>
    <t>$15.45</t>
  </si>
  <si>
    <t>$20,690,750</t>
  </si>
  <si>
    <t>$0.695558</t>
  </si>
  <si>
    <t>$29,268,004</t>
  </si>
  <si>
    <t>$247,128,556</t>
  </si>
  <si>
    <t>$0.017623908444</t>
  </si>
  <si>
    <t>$26,404,224</t>
  </si>
  <si>
    <t>$64,101,937</t>
  </si>
  <si>
    <t>$0.363109</t>
  </si>
  <si>
    <t>$6,567,093</t>
  </si>
  <si>
    <t>$231,398,305</t>
  </si>
  <si>
    <t>$0.250562</t>
  </si>
  <si>
    <t>$8,670,691</t>
  </si>
  <si>
    <t>$229,129,896</t>
  </si>
  <si>
    <t>$2,516,893</t>
  </si>
  <si>
    <t>$19.73</t>
  </si>
  <si>
    <t>$2,717,457</t>
  </si>
  <si>
    <t>$221,928,128</t>
  </si>
  <si>
    <t>$19.87</t>
  </si>
  <si>
    <t>$1,864,128</t>
  </si>
  <si>
    <t>$0.023502301017</t>
  </si>
  <si>
    <t>$6,271,032</t>
  </si>
  <si>
    <t>$218,414,181</t>
  </si>
  <si>
    <t>$0.143131</t>
  </si>
  <si>
    <t>$22,117,340</t>
  </si>
  <si>
    <t>$1.33</t>
  </si>
  <si>
    <t>$984,194</t>
  </si>
  <si>
    <t>$2,609,944</t>
  </si>
  <si>
    <t>$0.062352720543</t>
  </si>
  <si>
    <t>$33,217,194</t>
  </si>
  <si>
    <t>$138.84</t>
  </si>
  <si>
    <t>$43,617,461</t>
  </si>
  <si>
    <t>$201,790,190</t>
  </si>
  <si>
    <t>$41,953,827</t>
  </si>
  <si>
    <t>$0.003254155489</t>
  </si>
  <si>
    <t>$4,391,176</t>
  </si>
  <si>
    <t>$0.087585141673</t>
  </si>
  <si>
    <t>$25,344,547</t>
  </si>
  <si>
    <t>$0.320448</t>
  </si>
  <si>
    <t>$52,317,647</t>
  </si>
  <si>
    <t>$189,545,788</t>
  </si>
  <si>
    <t>$4.31</t>
  </si>
  <si>
    <t>$2,467,199</t>
  </si>
  <si>
    <t>$0.338690</t>
  </si>
  <si>
    <t>$10,484,857</t>
  </si>
  <si>
    <t>$32,940,520</t>
  </si>
  <si>
    <t>$164,831,611</t>
  </si>
  <si>
    <t>$0.460090</t>
  </si>
  <si>
    <t>$16,514,342</t>
  </si>
  <si>
    <t>$10.29</t>
  </si>
  <si>
    <t>$133,735,110</t>
  </si>
  <si>
    <t>$299.67</t>
  </si>
  <si>
    <t>$2,469,296</t>
  </si>
  <si>
    <t>$0.274672</t>
  </si>
  <si>
    <t>$5,810,637</t>
  </si>
  <si>
    <t>$178,536,508</t>
  </si>
  <si>
    <t>$0.405346</t>
  </si>
  <si>
    <t>$8,588,259</t>
  </si>
  <si>
    <t>$0.035132658508</t>
  </si>
  <si>
    <t>$3,112,337</t>
  </si>
  <si>
    <t>$5,077,484</t>
  </si>
  <si>
    <t>$8,914,909</t>
  </si>
  <si>
    <t>$173,743,139</t>
  </si>
  <si>
    <t>$0.290718</t>
  </si>
  <si>
    <t>$20,123,647</t>
  </si>
  <si>
    <t>$11,478,184</t>
  </si>
  <si>
    <t>$0.026466113778</t>
  </si>
  <si>
    <t>$31,450,066</t>
  </si>
  <si>
    <t>$0.429887</t>
  </si>
  <si>
    <t>$1,344,337</t>
  </si>
  <si>
    <t>$0.110824</t>
  </si>
  <si>
    <t>$574,407</t>
  </si>
  <si>
    <t>$166,235,815</t>
  </si>
  <si>
    <t>$164,361,127</t>
  </si>
  <si>
    <t>$1.68</t>
  </si>
  <si>
    <t>$7,653,184</t>
  </si>
  <si>
    <t>$1.88</t>
  </si>
  <si>
    <t>$2,371,643</t>
  </si>
  <si>
    <t>$0.010210412903</t>
  </si>
  <si>
    <t>$765,545</t>
  </si>
  <si>
    <t>$0.440500</t>
  </si>
  <si>
    <t>$3,747,432</t>
  </si>
  <si>
    <t>$0.655210</t>
  </si>
  <si>
    <t>$6,174,961</t>
  </si>
  <si>
    <t>$0.552219</t>
  </si>
  <si>
    <t>$10,614,472</t>
  </si>
  <si>
    <t>$21.77</t>
  </si>
  <si>
    <t>$4.53</t>
  </si>
  <si>
    <t>$4,296,775</t>
  </si>
  <si>
    <t>$0.519345</t>
  </si>
  <si>
    <t>$7,196,649</t>
  </si>
  <si>
    <t>$0.198147</t>
  </si>
  <si>
    <t>$2,025,153</t>
  </si>
  <si>
    <t>$209.62</t>
  </si>
  <si>
    <t>$975,410</t>
  </si>
  <si>
    <t>$7,025,501</t>
  </si>
  <si>
    <t>$269,083,667</t>
  </si>
  <si>
    <t>$0.394966</t>
  </si>
  <si>
    <t>$32,817,950</t>
  </si>
  <si>
    <t>$0.559410</t>
  </si>
  <si>
    <t>$23,068,626</t>
  </si>
  <si>
    <t>$0.602112</t>
  </si>
  <si>
    <t>$17,451,638</t>
  </si>
  <si>
    <t>$8,257,860</t>
  </si>
  <si>
    <t>$254,139,402</t>
  </si>
  <si>
    <t>$0.997585</t>
  </si>
  <si>
    <t>$13,626,338</t>
  </si>
  <si>
    <t>$6.32</t>
  </si>
  <si>
    <t>$8,021,484</t>
  </si>
  <si>
    <t>$238,403,988</t>
  </si>
  <si>
    <t>$20.94</t>
  </si>
  <si>
    <t>$16,635,559</t>
  </si>
  <si>
    <t>$17,250,027</t>
  </si>
  <si>
    <t>$13,924,423</t>
  </si>
  <si>
    <t>$7.45</t>
  </si>
  <si>
    <t>$14,314,711</t>
  </si>
  <si>
    <t>$0.544953</t>
  </si>
  <si>
    <t>$20,530,471</t>
  </si>
  <si>
    <t>$222,056,962</t>
  </si>
  <si>
    <t>$214,696,216</t>
  </si>
  <si>
    <t>$209,566,897</t>
  </si>
  <si>
    <t>$0.718987</t>
  </si>
  <si>
    <t>$2,673,067</t>
  </si>
  <si>
    <t>$208,960,720</t>
  </si>
  <si>
    <t>$13,717,973</t>
  </si>
  <si>
    <t>$203,763,342</t>
  </si>
  <si>
    <t>$18.72</t>
  </si>
  <si>
    <t>$26,300,217</t>
  </si>
  <si>
    <t>$202,044,365</t>
  </si>
  <si>
    <t>$0.156840</t>
  </si>
  <si>
    <t>$65,334,969</t>
  </si>
  <si>
    <t>$0.017929797280</t>
  </si>
  <si>
    <t>$15,657,578</t>
  </si>
  <si>
    <t>$0.532374</t>
  </si>
  <si>
    <t>$7,467,986</t>
  </si>
  <si>
    <t>$0.033697999957</t>
  </si>
  <si>
    <t>$1,625,289</t>
  </si>
  <si>
    <t>$181,877,434</t>
  </si>
  <si>
    <t>$8,331,957</t>
  </si>
  <si>
    <t>$12,617,576</t>
  </si>
  <si>
    <t>$174,342,170</t>
  </si>
  <si>
    <t>$173,163,739</t>
  </si>
  <si>
    <t>$2,287,765</t>
  </si>
  <si>
    <t>$7,810,229</t>
  </si>
  <si>
    <t>$165,970,790</t>
  </si>
  <si>
    <t>$161,372,002</t>
  </si>
  <si>
    <t>$12,614,150</t>
  </si>
  <si>
    <t>$158,670,103</t>
  </si>
  <si>
    <t>$4,410,065</t>
  </si>
  <si>
    <t>$0.798589</t>
  </si>
  <si>
    <t>$7,359,415</t>
  </si>
  <si>
    <t>$153,596,765</t>
  </si>
  <si>
    <t>$3,851.11</t>
  </si>
  <si>
    <t>$51,045,684</t>
  </si>
  <si>
    <t>$4.44</t>
  </si>
  <si>
    <t>$94,268,930</t>
  </si>
  <si>
    <t>$0.261567</t>
  </si>
  <si>
    <t>$46,131,948</t>
  </si>
  <si>
    <t>$0.263747</t>
  </si>
  <si>
    <t>$48,321,934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</si>
</sst>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_);[Red]\(&quot;$&quot;#,##0\)"/>
    <numFmt numFmtId="165" formatCode="&quot;$&quot;#,##0.00_);[Red]\(&quot;$&quot;#,##0.00\)"/>
    <numFmt numFmtId="166" formatCode="0.0000"/>
    <numFmt numFmtId="167" formatCode="0.000"/>
  </numFmts>
  <fonts count="24" x14ac:knownFonts="1">
    <font>
      <sz val="12"/>
      <color theme="1"/>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u/>
      <sz val="12"/>
      <color theme="1"/>
      <name val="Calibri"/>
      <family val="2"/>
      <scheme val="minor"/>
    </font>
    <font>
      <b/>
      <sz val="12"/>
      <color theme="1"/>
      <name val="Calibri"/>
      <family val="2"/>
      <scheme val="minor"/>
    </font>
    <font>
      <b/>
      <u/>
      <sz val="16"/>
      <color theme="1"/>
      <name val="Calibri"/>
      <family val="2"/>
      <scheme val="minor"/>
    </font>
    <font>
      <sz val="10"/>
      <color rgb="FF000000"/>
      <name val="Tahoma"/>
      <family val="2"/>
    </font>
    <font>
      <sz val="10"/>
      <color theme="1"/>
      <name val="Calibri"/>
      <family val="2"/>
      <scheme val="minor"/>
    </font>
    <font>
      <i/>
      <sz val="10"/>
      <color theme="1"/>
      <name val="Calibri"/>
      <family val="2"/>
      <scheme val="minor"/>
    </font>
    <font>
      <b/>
      <sz val="24"/>
      <color theme="1"/>
      <name val="Calibri"/>
      <family val="2"/>
      <scheme val="minor"/>
    </font>
    <font>
      <sz val="10"/>
      <color rgb="FF707070"/>
      <name val="Calibri"/>
      <family val="2"/>
      <scheme val="minor"/>
    </font>
    <font>
      <b/>
      <sz val="10"/>
      <color theme="1"/>
      <name val="Calibri"/>
      <family val="2"/>
      <scheme val="minor"/>
    </font>
    <font>
      <b/>
      <sz val="13.5"/>
      <color theme="1"/>
      <name val="Calibri"/>
      <family val="2"/>
      <scheme val="minor"/>
    </font>
    <font>
      <b/>
      <sz val="7.5"/>
      <color theme="1"/>
      <name val="Calibri"/>
      <family val="2"/>
      <scheme val="minor"/>
    </font>
    <font>
      <b/>
      <sz val="13.5"/>
      <color rgb="FF707070"/>
      <name val="Calibri"/>
      <family val="2"/>
      <scheme val="minor"/>
    </font>
    <font>
      <b/>
      <sz val="13.5"/>
      <color rgb="FFFFFFFF"/>
      <name val="Calibri"/>
      <family val="2"/>
      <scheme val="minor"/>
    </font>
    <font>
      <u/>
      <sz val="12"/>
      <color theme="10"/>
      <name val="Calibri"/>
      <family val="2"/>
      <scheme val="minor"/>
    </font>
    <font>
      <sz val="12"/>
      <color rgb="FF0A0101"/>
      <name val="Helvetica Neue"/>
      <family val="2"/>
    </font>
    <font>
      <b/>
      <i/>
      <sz val="14"/>
      <color theme="1"/>
      <name val="Calibri"/>
      <family val="2"/>
      <scheme val="minor"/>
    </font>
    <font>
      <i/>
      <sz val="16"/>
      <color theme="1"/>
      <name val="Calibri"/>
      <family val="2"/>
      <scheme val="minor"/>
    </font>
    <font>
      <b/>
      <i/>
      <sz val="20"/>
      <color theme="1"/>
      <name val="Calibri"/>
      <family val="2"/>
      <scheme val="minor"/>
    </font>
    <font>
      <sz val="20"/>
      <color rgb="FF000000"/>
      <name val="Calibri"/>
      <family val="2"/>
    </font>
    <font>
      <b/>
      <sz val="26"/>
      <color rgb="FF000000"/>
      <name val="Calibri"/>
      <family val="2"/>
    </font>
  </fonts>
  <fills count="6">
    <fill>
      <patternFill patternType="none"/>
    </fill>
    <fill>
      <patternFill patternType="gray125"/>
    </fill>
    <fill>
      <patternFill patternType="solid">
        <fgColor theme="2" tint="-9.9978637043366805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diagonal/>
    </border>
    <border>
      <left/>
      <right/>
      <top style="thin">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right/>
      <top style="thin">
        <color indexed="64"/>
      </top>
      <bottom/>
      <diagonal/>
    </border>
  </borders>
  <cellStyleXfs count="2">
    <xf numFmtId="0" fontId="0" fillId="0" borderId="0"/>
    <xf numFmtId="0" fontId="17" fillId="0" borderId="0" applyNumberFormat="0" applyFill="0" applyBorder="0" applyAlignment="0" applyProtection="0"/>
  </cellStyleXfs>
  <cellXfs count="100">
    <xf numFmtId="0" fontId="0" fillId="0" borderId="0" xfId="0"/>
    <xf numFmtId="166" fontId="1" fillId="0" borderId="13" xfId="0" applyNumberFormat="1" applyFont="1" applyBorder="1" applyAlignment="1">
      <alignment horizontal="center"/>
    </xf>
    <xf numFmtId="167" fontId="1" fillId="0" borderId="10" xfId="0" applyNumberFormat="1" applyFont="1" applyBorder="1" applyAlignment="1">
      <alignment horizontal="center"/>
    </xf>
    <xf numFmtId="167" fontId="1" fillId="0" borderId="9" xfId="0" applyNumberFormat="1" applyFont="1" applyBorder="1" applyAlignment="1">
      <alignment horizontal="center"/>
    </xf>
    <xf numFmtId="164" fontId="0" fillId="0" borderId="0" xfId="0" applyNumberFormat="1"/>
    <xf numFmtId="10" fontId="0" fillId="0" borderId="0" xfId="0" applyNumberFormat="1"/>
    <xf numFmtId="165" fontId="0" fillId="0" borderId="0" xfId="0" applyNumberFormat="1"/>
    <xf numFmtId="16" fontId="0" fillId="0" borderId="0" xfId="0" applyNumberFormat="1"/>
    <xf numFmtId="0" fontId="0" fillId="0" borderId="0" xfId="0" applyAlignment="1">
      <alignment horizontal="center"/>
    </xf>
    <xf numFmtId="0" fontId="0" fillId="0" borderId="0" xfId="0" applyAlignment="1">
      <alignment horizontal="center" vertical="center"/>
    </xf>
    <xf numFmtId="0" fontId="4" fillId="0" borderId="0" xfId="0" applyFont="1"/>
    <xf numFmtId="2" fontId="0" fillId="0" borderId="0" xfId="0" applyNumberFormat="1"/>
    <xf numFmtId="2" fontId="1" fillId="0" borderId="9" xfId="0" applyNumberFormat="1" applyFont="1" applyBorder="1" applyAlignment="1">
      <alignment horizontal="center"/>
    </xf>
    <xf numFmtId="0" fontId="8" fillId="0" borderId="0" xfId="0" applyFont="1"/>
    <xf numFmtId="0" fontId="17" fillId="0" borderId="0" xfId="1"/>
    <xf numFmtId="0" fontId="0" fillId="0" borderId="0" xfId="0" applyAlignment="1">
      <alignment horizontal="left" vertical="center" indent="1"/>
    </xf>
    <xf numFmtId="0" fontId="17" fillId="0" borderId="0" xfId="1" applyAlignment="1">
      <alignment horizontal="left" vertical="center" indent="1"/>
    </xf>
    <xf numFmtId="0" fontId="0" fillId="0" borderId="0" xfId="0" applyAlignment="1">
      <alignment vertical="center"/>
    </xf>
    <xf numFmtId="0" fontId="10" fillId="0" borderId="0" xfId="0" applyFont="1" applyAlignment="1">
      <alignment vertical="center"/>
    </xf>
    <xf numFmtId="10" fontId="8" fillId="0" borderId="0" xfId="0" applyNumberFormat="1" applyFont="1"/>
    <xf numFmtId="0" fontId="11" fillId="0" borderId="0" xfId="0" applyFont="1"/>
    <xf numFmtId="0" fontId="5" fillId="0" borderId="0" xfId="0" applyFont="1" applyAlignment="1">
      <alignment vertical="center"/>
    </xf>
    <xf numFmtId="0" fontId="12" fillId="0" borderId="0" xfId="0" applyFont="1" applyAlignment="1">
      <alignment horizontal="center" vertical="center" wrapText="1"/>
    </xf>
    <xf numFmtId="16" fontId="8" fillId="0" borderId="0" xfId="0" applyNumberFormat="1" applyFont="1"/>
    <xf numFmtId="0" fontId="13" fillId="0" borderId="0" xfId="0" applyFont="1" applyAlignment="1">
      <alignment vertical="center"/>
    </xf>
    <xf numFmtId="0" fontId="17" fillId="0" borderId="0" xfId="1" applyAlignment="1">
      <alignment vertical="center"/>
    </xf>
    <xf numFmtId="0" fontId="1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18" fillId="0" borderId="0" xfId="0" applyFont="1"/>
    <xf numFmtId="167" fontId="1" fillId="0" borderId="8" xfId="0" applyNumberFormat="1" applyFont="1" applyBorder="1" applyAlignment="1">
      <alignment horizontal="center"/>
    </xf>
    <xf numFmtId="0" fontId="0" fillId="0" borderId="9" xfId="0" applyBorder="1"/>
    <xf numFmtId="0" fontId="1" fillId="0" borderId="13" xfId="0" applyFont="1" applyFill="1" applyBorder="1" applyAlignment="1">
      <alignment horizontal="center"/>
    </xf>
    <xf numFmtId="0" fontId="1" fillId="0" borderId="21" xfId="0" applyFont="1" applyFill="1" applyBorder="1" applyAlignment="1">
      <alignment horizontal="center"/>
    </xf>
    <xf numFmtId="0" fontId="0" fillId="0" borderId="3" xfId="0" applyBorder="1"/>
    <xf numFmtId="2" fontId="1" fillId="0" borderId="8" xfId="0" applyNumberFormat="1" applyFont="1" applyBorder="1" applyAlignment="1">
      <alignment horizontal="center"/>
    </xf>
    <xf numFmtId="0" fontId="19" fillId="0" borderId="9" xfId="0" applyFont="1" applyBorder="1" applyAlignment="1">
      <alignment horizontal="center" vertical="center"/>
    </xf>
    <xf numFmtId="0" fontId="0" fillId="0" borderId="17" xfId="0" applyBorder="1"/>
    <xf numFmtId="0" fontId="19" fillId="0" borderId="11" xfId="0" applyFont="1" applyBorder="1" applyAlignment="1">
      <alignment horizontal="center" vertical="center"/>
    </xf>
    <xf numFmtId="0" fontId="2" fillId="0" borderId="20" xfId="0" applyFont="1" applyBorder="1" applyAlignment="1">
      <alignment horizontal="center"/>
    </xf>
    <xf numFmtId="0" fontId="2" fillId="0" borderId="13" xfId="0" applyFont="1" applyBorder="1" applyAlignment="1">
      <alignment horizontal="center"/>
    </xf>
    <xf numFmtId="0" fontId="2" fillId="0" borderId="5" xfId="0" applyFont="1" applyBorder="1" applyAlignment="1">
      <alignment horizontal="center"/>
    </xf>
    <xf numFmtId="2" fontId="1" fillId="0" borderId="23" xfId="0" applyNumberFormat="1" applyFont="1" applyBorder="1" applyAlignment="1">
      <alignment horizontal="center"/>
    </xf>
    <xf numFmtId="0" fontId="2" fillId="0" borderId="18" xfId="0" applyFont="1" applyBorder="1" applyAlignment="1">
      <alignment horizontal="center"/>
    </xf>
    <xf numFmtId="0" fontId="5" fillId="0" borderId="13" xfId="0" applyFont="1" applyBorder="1"/>
    <xf numFmtId="2" fontId="1" fillId="0" borderId="24" xfId="0" applyNumberFormat="1" applyFont="1" applyBorder="1" applyAlignment="1">
      <alignment horizontal="center"/>
    </xf>
    <xf numFmtId="2" fontId="1" fillId="0" borderId="25" xfId="0" applyNumberFormat="1" applyFont="1" applyBorder="1" applyAlignment="1">
      <alignment horizontal="center"/>
    </xf>
    <xf numFmtId="2" fontId="20" fillId="0" borderId="26" xfId="0" applyNumberFormat="1" applyFont="1" applyBorder="1" applyAlignment="1">
      <alignment horizontal="center"/>
    </xf>
    <xf numFmtId="2" fontId="20" fillId="0" borderId="12" xfId="0" applyNumberFormat="1" applyFont="1" applyBorder="1" applyAlignment="1">
      <alignment horizontal="center"/>
    </xf>
    <xf numFmtId="0" fontId="2" fillId="3" borderId="21" xfId="0" applyFont="1" applyFill="1" applyBorder="1" applyAlignment="1">
      <alignment horizontal="center"/>
    </xf>
    <xf numFmtId="0" fontId="2" fillId="3" borderId="13" xfId="0" applyFont="1" applyFill="1" applyBorder="1" applyAlignment="1">
      <alignment horizontal="center"/>
    </xf>
    <xf numFmtId="0" fontId="2" fillId="0" borderId="18" xfId="0" applyFont="1" applyFill="1" applyBorder="1" applyAlignment="1">
      <alignment horizontal="center"/>
    </xf>
    <xf numFmtId="0" fontId="0" fillId="0" borderId="13" xfId="0" applyBorder="1"/>
    <xf numFmtId="0" fontId="0" fillId="0" borderId="18" xfId="0" applyBorder="1"/>
    <xf numFmtId="0" fontId="2" fillId="3" borderId="5" xfId="0" applyFont="1" applyFill="1" applyBorder="1" applyAlignment="1">
      <alignment horizontal="center"/>
    </xf>
    <xf numFmtId="0" fontId="2" fillId="2" borderId="8" xfId="0" applyFont="1" applyFill="1" applyBorder="1" applyAlignment="1">
      <alignment horizontal="center"/>
    </xf>
    <xf numFmtId="0" fontId="2" fillId="3" borderId="8" xfId="0" applyFont="1" applyFill="1" applyBorder="1" applyAlignment="1">
      <alignment horizontal="center"/>
    </xf>
    <xf numFmtId="0" fontId="2" fillId="2" borderId="5" xfId="0" applyFont="1" applyFill="1" applyBorder="1" applyAlignment="1">
      <alignment horizontal="center"/>
    </xf>
    <xf numFmtId="0" fontId="0" fillId="5" borderId="7" xfId="0" applyFill="1" applyBorder="1" applyAlignment="1"/>
    <xf numFmtId="0" fontId="0" fillId="5" borderId="0" xfId="0" applyFill="1"/>
    <xf numFmtId="0" fontId="1" fillId="0" borderId="17" xfId="0" applyFont="1" applyFill="1" applyBorder="1" applyAlignment="1">
      <alignment horizontal="center"/>
    </xf>
    <xf numFmtId="0" fontId="0" fillId="5" borderId="22" xfId="0" applyFill="1" applyBorder="1" applyAlignment="1"/>
    <xf numFmtId="0" fontId="0" fillId="0" borderId="0" xfId="0" applyBorder="1"/>
    <xf numFmtId="0" fontId="0" fillId="5" borderId="2" xfId="0" applyFill="1" applyBorder="1" applyAlignment="1"/>
    <xf numFmtId="0" fontId="0" fillId="5" borderId="0" xfId="0" applyFill="1" applyBorder="1" applyAlignment="1"/>
    <xf numFmtId="0" fontId="0" fillId="5" borderId="0" xfId="0" applyFill="1" applyBorder="1"/>
    <xf numFmtId="0" fontId="0" fillId="5" borderId="27" xfId="0" applyFill="1" applyBorder="1"/>
    <xf numFmtId="0" fontId="0" fillId="5" borderId="14" xfId="0" applyFill="1" applyBorder="1"/>
    <xf numFmtId="0" fontId="0" fillId="5" borderId="4" xfId="0" applyFill="1" applyBorder="1"/>
    <xf numFmtId="0" fontId="0" fillId="5" borderId="4" xfId="0" applyFill="1" applyBorder="1" applyAlignment="1"/>
    <xf numFmtId="0" fontId="0" fillId="0" borderId="0" xfId="0" applyFill="1" applyBorder="1" applyAlignment="1"/>
    <xf numFmtId="0" fontId="0" fillId="0" borderId="0" xfId="0" applyFill="1" applyBorder="1"/>
    <xf numFmtId="0" fontId="0" fillId="0" borderId="19" xfId="0" applyFill="1" applyBorder="1"/>
    <xf numFmtId="0" fontId="0" fillId="0" borderId="22" xfId="0" applyFill="1" applyBorder="1"/>
    <xf numFmtId="0" fontId="0" fillId="0" borderId="20" xfId="0" applyBorder="1"/>
    <xf numFmtId="0" fontId="0" fillId="0" borderId="5" xfId="0" applyBorder="1"/>
    <xf numFmtId="2" fontId="1" fillId="0" borderId="10" xfId="0" applyNumberFormat="1" applyFont="1" applyBorder="1" applyAlignment="1">
      <alignment horizontal="center"/>
    </xf>
    <xf numFmtId="0" fontId="8" fillId="0" borderId="0" xfId="0" applyFont="1" applyAlignment="1">
      <alignment vertical="center" wrapText="1"/>
    </xf>
    <xf numFmtId="0" fontId="6" fillId="4" borderId="19" xfId="0" applyFont="1" applyFill="1" applyBorder="1" applyAlignment="1">
      <alignment horizontal="left" vertical="center"/>
    </xf>
    <xf numFmtId="0" fontId="6" fillId="4" borderId="14" xfId="0" applyFont="1" applyFill="1" applyBorder="1" applyAlignment="1">
      <alignment horizontal="left" vertical="center"/>
    </xf>
    <xf numFmtId="0" fontId="6" fillId="4" borderId="3" xfId="0" applyFont="1" applyFill="1" applyBorder="1" applyAlignment="1">
      <alignment horizontal="left" vertical="center"/>
    </xf>
    <xf numFmtId="0" fontId="6" fillId="4" borderId="4" xfId="0" applyFont="1" applyFill="1" applyBorder="1" applyAlignment="1">
      <alignment horizontal="left" vertical="center"/>
    </xf>
    <xf numFmtId="0" fontId="0" fillId="5" borderId="2" xfId="0" applyFill="1" applyBorder="1" applyAlignment="1">
      <alignment horizontal="center"/>
    </xf>
    <xf numFmtId="0" fontId="0" fillId="5" borderId="0" xfId="0" applyFill="1" applyBorder="1" applyAlignment="1">
      <alignment horizontal="center"/>
    </xf>
    <xf numFmtId="0" fontId="0" fillId="5" borderId="4" xfId="0" applyFill="1" applyBorder="1" applyAlignment="1">
      <alignment horizontal="center"/>
    </xf>
    <xf numFmtId="0" fontId="0" fillId="5" borderId="7" xfId="0" applyFill="1" applyBorder="1" applyAlignment="1">
      <alignment horizontal="center"/>
    </xf>
    <xf numFmtId="0" fontId="0" fillId="5" borderId="3" xfId="0" applyFill="1" applyBorder="1" applyAlignment="1">
      <alignment horizontal="center"/>
    </xf>
    <xf numFmtId="0" fontId="0" fillId="5" borderId="16" xfId="0" applyFill="1" applyBorder="1" applyAlignment="1">
      <alignment horizontal="center"/>
    </xf>
    <xf numFmtId="0" fontId="2" fillId="3" borderId="8" xfId="0" applyFont="1" applyFill="1" applyBorder="1" applyAlignment="1">
      <alignment horizontal="center"/>
    </xf>
    <xf numFmtId="0" fontId="21" fillId="0" borderId="1" xfId="0" applyFont="1" applyBorder="1" applyAlignment="1">
      <alignment horizontal="center" vertical="center"/>
    </xf>
    <xf numFmtId="0" fontId="3" fillId="2" borderId="3" xfId="0" applyFont="1" applyFill="1" applyBorder="1" applyAlignment="1">
      <alignment horizontal="center"/>
    </xf>
    <xf numFmtId="0" fontId="3" fillId="2" borderId="5" xfId="0" applyFont="1" applyFill="1" applyBorder="1" applyAlignment="1">
      <alignment horizontal="center"/>
    </xf>
    <xf numFmtId="0" fontId="3" fillId="2" borderId="15" xfId="0" applyFont="1" applyFill="1" applyBorder="1" applyAlignment="1">
      <alignment horizontal="center"/>
    </xf>
    <xf numFmtId="0" fontId="3" fillId="2" borderId="6" xfId="0" applyFont="1" applyFill="1" applyBorder="1" applyAlignment="1">
      <alignment horizontal="center"/>
    </xf>
    <xf numFmtId="0" fontId="0" fillId="5" borderId="14" xfId="0" applyFill="1" applyBorder="1" applyAlignment="1">
      <alignment horizontal="center"/>
    </xf>
    <xf numFmtId="0" fontId="8" fillId="0" borderId="0" xfId="0" applyFont="1" applyAlignment="1">
      <alignment vertical="center" wrapText="1"/>
    </xf>
    <xf numFmtId="0" fontId="17" fillId="0" borderId="0" xfId="1" applyAlignment="1">
      <alignment vertical="center" wrapText="1"/>
    </xf>
    <xf numFmtId="0" fontId="9" fillId="0" borderId="0" xfId="0" applyFont="1" applyAlignment="1">
      <alignment vertical="center" wrapText="1"/>
    </xf>
    <xf numFmtId="10" fontId="8" fillId="0" borderId="0" xfId="0" applyNumberFormat="1"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4">
    <dxf>
      <fill>
        <patternFill>
          <bgColor theme="9" tint="0.59996337778862885"/>
        </patternFill>
      </fill>
    </dxf>
    <dxf>
      <fill>
        <patternFill>
          <bgColor rgb="FFEA897E"/>
        </patternFill>
      </fill>
    </dxf>
    <dxf>
      <fill>
        <patternFill>
          <bgColor theme="9" tint="0.59996337778862885"/>
        </patternFill>
      </fill>
    </dxf>
    <dxf>
      <fill>
        <patternFill>
          <bgColor rgb="FFEA897E"/>
        </patternFill>
      </fill>
    </dxf>
  </dxfs>
  <tableStyles count="0" defaultTableStyle="TableStyleMedium2" defaultPivotStyle="PivotStyleLight16"/>
  <colors>
    <mruColors>
      <color rgb="FFEA897E"/>
      <color rgb="FFED3C33"/>
      <color rgb="FFDBDBF4"/>
      <color rgb="FFE0BAEF"/>
      <color rgb="FFB9BAEF"/>
      <color rgb="FF404040"/>
      <color rgb="FFEFBBB8"/>
      <color rgb="FFEC9F99"/>
      <color rgb="FFCC99EA"/>
      <color rgb="FFE037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12700</xdr:colOff>
          <xdr:row>7</xdr:row>
          <xdr:rowOff>12700</xdr:rowOff>
        </xdr:from>
        <xdr:to>
          <xdr:col>14</xdr:col>
          <xdr:colOff>0</xdr:colOff>
          <xdr:row>9</xdr:row>
          <xdr:rowOff>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000-00002F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Buy</a:t>
              </a:r>
            </a:p>
            <a:p>
              <a:pPr algn="ctr" rtl="0">
                <a:defRPr sz="1000"/>
              </a:pPr>
              <a:endParaRPr lang="en-GB" sz="2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1</xdr:col>
      <xdr:colOff>16368</xdr:colOff>
      <xdr:row>30</xdr:row>
      <xdr:rowOff>15875</xdr:rowOff>
    </xdr:from>
    <xdr:to>
      <xdr:col>9</xdr:col>
      <xdr:colOff>15875</xdr:colOff>
      <xdr:row>46</xdr:row>
      <xdr:rowOff>15875</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810118" y="10017125"/>
          <a:ext cx="14223507" cy="5334000"/>
        </a:xfrm>
        <a:prstGeom prst="rect">
          <a:avLst/>
        </a:prstGeom>
        <a:solidFill>
          <a:schemeClr val="accent5">
            <a:lumMod val="20000"/>
            <a:lumOff val="80000"/>
          </a:schemeClr>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u="sng"/>
            <a:t>Guide to using</a:t>
          </a:r>
          <a:r>
            <a:rPr lang="en-GB" sz="1600" b="1" u="sng" baseline="0"/>
            <a:t> the spreadsheet:</a:t>
          </a:r>
        </a:p>
        <a:p>
          <a:r>
            <a:rPr lang="en-GB" sz="1600" b="0" u="sng" baseline="0"/>
            <a:t>Filling in required columns (yellow headers)</a:t>
          </a:r>
        </a:p>
        <a:p>
          <a:r>
            <a:rPr lang="en-GB" sz="1400" baseline="0"/>
            <a:t>1. Fill in the Coin column (only top 300 cryptocurrencies (in market cap) data are pulled from CoinGecko). </a:t>
          </a:r>
        </a:p>
        <a:p>
          <a:r>
            <a:rPr lang="en-GB" sz="1400" baseline="0"/>
            <a:t>	- Do not leave rows of blanks. Fill in coins from the top row downwards</a:t>
          </a:r>
        </a:p>
        <a:p>
          <a:r>
            <a:rPr lang="en-GB" sz="1400" baseline="0"/>
            <a:t>2. Fill in the USDT available table in cell K4 (USDT represents the stablecoin for crypto trades)</a:t>
          </a:r>
        </a:p>
        <a:p>
          <a:r>
            <a:rPr lang="en-GB" sz="1400" baseline="0"/>
            <a:t>3. Fill in the Holdings column (column D) based on number of coins you own</a:t>
          </a:r>
        </a:p>
        <a:p>
          <a:r>
            <a:rPr lang="en-GB" sz="1400" baseline="0"/>
            <a:t>4. Fill in the Avg. Price column (column E) based on average price of purchase of coins</a:t>
          </a:r>
        </a:p>
        <a:p>
          <a:r>
            <a:rPr lang="en-GB" sz="1400" baseline="0"/>
            <a:t>	- If more coins are purchased/sold, please utilise the edit holdings table on the right (average price will be automatically updated)</a:t>
          </a:r>
        </a:p>
        <a:p>
          <a:r>
            <a:rPr lang="en-GB" sz="1400" baseline="0"/>
            <a:t>	- When a purchase is made, USDT will be deducted; when a sell is made, USDT will increase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Updating Portfolio</a:t>
          </a:r>
        </a:p>
        <a:p>
          <a:r>
            <a:rPr lang="en-GB" sz="1400" baseline="0"/>
            <a:t>Press the "Update" button to update all cryptocurrency market prices and  overall portfolio status</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Buying and Selling Owned Coins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Utilise the table for updating current holdings. When a purchase is made, USDT will be deducted; when a sell is made, USDT will increase. The average price of your coins will be automatically updated.</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For buying new coins, please fill in the required yellow columns from scratch.</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Adding Portfolios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Feel free to clone the sheet to add another portfolio (eg. hodl portfolio, trading portfolio etc.)</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Deleting Coins</a:t>
          </a:r>
        </a:p>
        <a:p>
          <a:pPr marL="0" marR="0" lvl="0" indent="0" defTabSz="914400" eaLnBrk="1" fontAlgn="auto" latinLnBrk="0" hangingPunct="1">
            <a:lnSpc>
              <a:spcPct val="100000"/>
            </a:lnSpc>
            <a:spcBef>
              <a:spcPts val="0"/>
            </a:spcBef>
            <a:spcAft>
              <a:spcPts val="0"/>
            </a:spcAft>
            <a:buClrTx/>
            <a:buSzTx/>
            <a:buFontTx/>
            <a:buNone/>
            <a:tabLst/>
            <a:defRPr/>
          </a:pPr>
          <a:r>
            <a:rPr lang="en-GB" sz="1600" b="0" u="none" baseline="0"/>
            <a:t>- </a:t>
          </a:r>
          <a:r>
            <a:rPr lang="en-GB" sz="1400" b="0" u="none" baseline="0"/>
            <a:t>Deleting coins has to be done manually. Select the row corresponding to the coin and delete. If coins to be deleted lies in a middle row, just delete holdings. </a:t>
          </a:r>
          <a:endParaRPr lang="en-GB" sz="18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endParaRPr lang="en-GB" sz="1400" baseline="0"/>
        </a:p>
      </xdr:txBody>
    </xdr:sp>
    <xdr:clientData/>
  </xdr:twoCellAnchor>
  <mc:AlternateContent xmlns:mc="http://schemas.openxmlformats.org/markup-compatibility/2006">
    <mc:Choice xmlns:a14="http://schemas.microsoft.com/office/drawing/2010/main" Requires="a14">
      <xdr:twoCellAnchor>
        <xdr:from>
          <xdr:col>7</xdr:col>
          <xdr:colOff>571500</xdr:colOff>
          <xdr:row>30</xdr:row>
          <xdr:rowOff>0</xdr:rowOff>
        </xdr:from>
        <xdr:to>
          <xdr:col>9</xdr:col>
          <xdr:colOff>0</xdr:colOff>
          <xdr:row>32</xdr:row>
          <xdr:rowOff>0</xdr:rowOff>
        </xdr:to>
        <xdr:sp macro="" textlink="">
          <xdr:nvSpPr>
            <xdr:cNvPr id="7232" name="Button 64" descr="Update Portfolio" hidden="1">
              <a:extLst>
                <a:ext uri="{63B3BB69-23CF-44E3-9099-C40C66FF867C}">
                  <a14:compatExt spid="_x0000_s7232"/>
                </a:ext>
                <a:ext uri="{FF2B5EF4-FFF2-40B4-BE49-F238E27FC236}">
                  <a16:creationId xmlns:a16="http://schemas.microsoft.com/office/drawing/2014/main" id="{00000000-0008-0000-0000-000040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600" b="1" i="0" u="none" strike="noStrike" baseline="0">
                  <a:solidFill>
                    <a:srgbClr val="000000"/>
                  </a:solidFill>
                  <a:latin typeface="Calibri" pitchFamily="2" charset="0"/>
                  <a:cs typeface="Calibri" pitchFamily="2" charset="0"/>
                </a:rPr>
                <a:t>Update</a:t>
              </a:r>
            </a:p>
            <a:p>
              <a:pPr algn="ctr" rtl="0">
                <a:defRPr sz="1000"/>
              </a:pPr>
              <a:endParaRPr lang="en-GB" sz="2600" b="1"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6</xdr:col>
      <xdr:colOff>1432442</xdr:colOff>
      <xdr:row>0</xdr:row>
      <xdr:rowOff>103372</xdr:rowOff>
    </xdr:from>
    <xdr:to>
      <xdr:col>11</xdr:col>
      <xdr:colOff>1373372</xdr:colOff>
      <xdr:row>1</xdr:row>
      <xdr:rowOff>177209</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0824535" y="103372"/>
          <a:ext cx="9657907" cy="39872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400" b="1" u="sng"/>
            <a:t>Crypto Portfolio Management Tool</a:t>
          </a:r>
        </a:p>
      </xdr:txBody>
    </xdr:sp>
    <xdr:clientData/>
  </xdr:twoCellAnchor>
  <mc:AlternateContent xmlns:mc="http://schemas.openxmlformats.org/markup-compatibility/2006">
    <mc:Choice xmlns:a14="http://schemas.microsoft.com/office/drawing/2010/main" Requires="a14">
      <xdr:twoCellAnchor>
        <xdr:from>
          <xdr:col>14</xdr:col>
          <xdr:colOff>0</xdr:colOff>
          <xdr:row>7</xdr:row>
          <xdr:rowOff>12700</xdr:rowOff>
        </xdr:from>
        <xdr:to>
          <xdr:col>15</xdr:col>
          <xdr:colOff>0</xdr:colOff>
          <xdr:row>9</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000-00004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Sell</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n" connectionId="1" xr16:uid="{00000000-0016-0000-01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n?page=2" connectionId="2" xr16:uid="{00000000-0016-0000-02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ingeckopage3" preserveFormatting="0" connectionId="3" xr16:uid="{6BCF7ED0-EBE6-FF43-90AB-F59BD725BA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17" Type="http://schemas.openxmlformats.org/officeDocument/2006/relationships/hyperlink" Target="file:///en/coins/dawn-protocol" TargetMode="External"/><Relationship Id="rId21" Type="http://schemas.openxmlformats.org/officeDocument/2006/relationships/hyperlink" Target="file:///de" TargetMode="External"/><Relationship Id="rId42" Type="http://schemas.openxmlformats.org/officeDocument/2006/relationships/hyperlink" Target="file:///en" TargetMode="External"/><Relationship Id="rId63" Type="http://schemas.openxmlformats.org/officeDocument/2006/relationships/hyperlink" Target="file:///en/coins/function-x" TargetMode="External"/><Relationship Id="rId84" Type="http://schemas.openxmlformats.org/officeDocument/2006/relationships/hyperlink" Target="file:///en/coins/cartesi" TargetMode="External"/><Relationship Id="rId138" Type="http://schemas.openxmlformats.org/officeDocument/2006/relationships/hyperlink" Target="file:///en/coins/origintrail" TargetMode="External"/><Relationship Id="rId159" Type="http://schemas.openxmlformats.org/officeDocument/2006/relationships/hyperlink" Target="/en?page=4" TargetMode="External"/><Relationship Id="rId170" Type="http://schemas.openxmlformats.org/officeDocument/2006/relationships/hyperlink" Target="file:///en/coins/avalanche" TargetMode="External"/><Relationship Id="rId191" Type="http://schemas.openxmlformats.org/officeDocument/2006/relationships/hyperlink" Target="file:///en/faq" TargetMode="External"/><Relationship Id="rId205" Type="http://schemas.openxmlformats.org/officeDocument/2006/relationships/queryTable" Target="../queryTables/queryTable3.xml"/><Relationship Id="rId107" Type="http://schemas.openxmlformats.org/officeDocument/2006/relationships/hyperlink" Target="file:///en/coins/casper-network" TargetMode="External"/><Relationship Id="rId11" Type="http://schemas.openxmlformats.org/officeDocument/2006/relationships/hyperlink" Target="https://store.coingecko.com/" TargetMode="External"/><Relationship Id="rId32" Type="http://schemas.openxmlformats.org/officeDocument/2006/relationships/hyperlink" Target="file:///tr" TargetMode="External"/><Relationship Id="rId53" Type="http://schemas.openxmlformats.org/officeDocument/2006/relationships/hyperlink" Target="file:///en/portfolio" TargetMode="External"/><Relationship Id="rId74" Type="http://schemas.openxmlformats.org/officeDocument/2006/relationships/hyperlink" Target="file:///en/coins/convex-crv" TargetMode="External"/><Relationship Id="rId128" Type="http://schemas.openxmlformats.org/officeDocument/2006/relationships/hyperlink" Target="file:///en/coins/stratis" TargetMode="External"/><Relationship Id="rId149" Type="http://schemas.openxmlformats.org/officeDocument/2006/relationships/hyperlink" Target="file:///en/coins/alchemix" TargetMode="External"/><Relationship Id="rId5" Type="http://schemas.openxmlformats.org/officeDocument/2006/relationships/hyperlink" Target="file:///en" TargetMode="External"/><Relationship Id="rId95" Type="http://schemas.openxmlformats.org/officeDocument/2006/relationships/hyperlink" Target="file:///en/coins/allianceblock" TargetMode="External"/><Relationship Id="rId160" Type="http://schemas.openxmlformats.org/officeDocument/2006/relationships/hyperlink" Target="/en?page=5" TargetMode="External"/><Relationship Id="rId181" Type="http://schemas.openxmlformats.org/officeDocument/2006/relationships/hyperlink" Target="file:///en/coins/recently_added" TargetMode="External"/><Relationship Id="rId22" Type="http://schemas.openxmlformats.org/officeDocument/2006/relationships/hyperlink" Target="file:///es" TargetMode="External"/><Relationship Id="rId43" Type="http://schemas.openxmlformats.org/officeDocument/2006/relationships/hyperlink" Target="file:///en/portfolio" TargetMode="External"/><Relationship Id="rId64" Type="http://schemas.openxmlformats.org/officeDocument/2006/relationships/hyperlink" Target="file:///en/coins/aelf" TargetMode="External"/><Relationship Id="rId118" Type="http://schemas.openxmlformats.org/officeDocument/2006/relationships/hyperlink" Target="file:///en/coins/defipulse-index" TargetMode="External"/><Relationship Id="rId139" Type="http://schemas.openxmlformats.org/officeDocument/2006/relationships/hyperlink" Target="file:///en/coins/star-atlas" TargetMode="External"/><Relationship Id="rId85" Type="http://schemas.openxmlformats.org/officeDocument/2006/relationships/hyperlink" Target="file:///en/coins/bifrost" TargetMode="External"/><Relationship Id="rId150" Type="http://schemas.openxmlformats.org/officeDocument/2006/relationships/hyperlink" Target="file:///en/coins/mobox" TargetMode="External"/><Relationship Id="rId171" Type="http://schemas.openxmlformats.org/officeDocument/2006/relationships/hyperlink" Target="file:///en/coins/plant-vs-undead-token" TargetMode="External"/><Relationship Id="rId192" Type="http://schemas.openxmlformats.org/officeDocument/2006/relationships/hyperlink" Target="file:///en/api" TargetMode="External"/><Relationship Id="rId12" Type="http://schemas.openxmlformats.org/officeDocument/2006/relationships/hyperlink" Target="file:///en/about" TargetMode="External"/><Relationship Id="rId33" Type="http://schemas.openxmlformats.org/officeDocument/2006/relationships/hyperlink" Target="file:///ru" TargetMode="External"/><Relationship Id="rId108" Type="http://schemas.openxmlformats.org/officeDocument/2006/relationships/hyperlink" Target="file:///en/coins/idex" TargetMode="External"/><Relationship Id="rId129" Type="http://schemas.openxmlformats.org/officeDocument/2006/relationships/hyperlink" Target="file:///en/coins/steem" TargetMode="External"/><Relationship Id="rId54" Type="http://schemas.openxmlformats.org/officeDocument/2006/relationships/hyperlink" Target="file:///en/searchbox" TargetMode="External"/><Relationship Id="rId75" Type="http://schemas.openxmlformats.org/officeDocument/2006/relationships/hyperlink" Target="file:///en/coins/reef-finance" TargetMode="External"/><Relationship Id="rId96" Type="http://schemas.openxmlformats.org/officeDocument/2006/relationships/hyperlink" Target="file:///en/coins/kadena" TargetMode="External"/><Relationship Id="rId140" Type="http://schemas.openxmlformats.org/officeDocument/2006/relationships/hyperlink" Target="file:///en/coins/aragon" TargetMode="External"/><Relationship Id="rId161" Type="http://schemas.openxmlformats.org/officeDocument/2006/relationships/hyperlink" Target="/en?page=6" TargetMode="External"/><Relationship Id="rId182" Type="http://schemas.openxmlformats.org/officeDocument/2006/relationships/hyperlink" Target="file:///en/methodology" TargetMode="External"/><Relationship Id="rId6" Type="http://schemas.openxmlformats.org/officeDocument/2006/relationships/hyperlink" Target="file:///en/premium" TargetMode="External"/><Relationship Id="rId23" Type="http://schemas.openxmlformats.org/officeDocument/2006/relationships/hyperlink" Target="file:///fr" TargetMode="External"/><Relationship Id="rId119" Type="http://schemas.openxmlformats.org/officeDocument/2006/relationships/hyperlink" Target="file:///en/coins/nkn" TargetMode="External"/><Relationship Id="rId44" Type="http://schemas.openxmlformats.org/officeDocument/2006/relationships/hyperlink" Target="file:///en/project_roles" TargetMode="External"/><Relationship Id="rId65" Type="http://schemas.openxmlformats.org/officeDocument/2006/relationships/hyperlink" Target="file:///en/coins/ocean-protocol" TargetMode="External"/><Relationship Id="rId86" Type="http://schemas.openxmlformats.org/officeDocument/2006/relationships/hyperlink" Target="file:///en/coins/lido-dao" TargetMode="External"/><Relationship Id="rId130" Type="http://schemas.openxmlformats.org/officeDocument/2006/relationships/hyperlink" Target="file:///en/coins/beldex" TargetMode="External"/><Relationship Id="rId151" Type="http://schemas.openxmlformats.org/officeDocument/2006/relationships/hyperlink" Target="file:///en/coins/superrare" TargetMode="External"/><Relationship Id="rId172" Type="http://schemas.openxmlformats.org/officeDocument/2006/relationships/hyperlink" Target="file:///en/coins/plant-vs-undead-token" TargetMode="External"/><Relationship Id="rId193" Type="http://schemas.openxmlformats.org/officeDocument/2006/relationships/hyperlink" Target="file:///en/widgets" TargetMode="External"/><Relationship Id="rId13" Type="http://schemas.openxmlformats.org/officeDocument/2006/relationships/hyperlink" Target="file:///en/careers" TargetMode="External"/><Relationship Id="rId109" Type="http://schemas.openxmlformats.org/officeDocument/2006/relationships/hyperlink" Target="file:///en/coins/unizen" TargetMode="External"/><Relationship Id="rId34" Type="http://schemas.openxmlformats.org/officeDocument/2006/relationships/hyperlink" Target="file:///ja" TargetMode="External"/><Relationship Id="rId55" Type="http://schemas.openxmlformats.org/officeDocument/2006/relationships/hyperlink" Target="file:///en/coins/ascendex-token" TargetMode="External"/><Relationship Id="rId76" Type="http://schemas.openxmlformats.org/officeDocument/2006/relationships/hyperlink" Target="file:///en/coins/mask-network" TargetMode="External"/><Relationship Id="rId97" Type="http://schemas.openxmlformats.org/officeDocument/2006/relationships/hyperlink" Target="file:///en/coins/susd" TargetMode="External"/><Relationship Id="rId120" Type="http://schemas.openxmlformats.org/officeDocument/2006/relationships/hyperlink" Target="file:///en/coins/metal" TargetMode="External"/><Relationship Id="rId141" Type="http://schemas.openxmlformats.org/officeDocument/2006/relationships/hyperlink" Target="file:///en/coins/superfarm" TargetMode="External"/><Relationship Id="rId7" Type="http://schemas.openxmlformats.org/officeDocument/2006/relationships/hyperlink" Target="file:///en/exchanges/derivatives" TargetMode="External"/><Relationship Id="rId162" Type="http://schemas.openxmlformats.org/officeDocument/2006/relationships/hyperlink" Target="/en?page=7" TargetMode="External"/><Relationship Id="rId183" Type="http://schemas.openxmlformats.org/officeDocument/2006/relationships/hyperlink" Target="/account/confirmation/new?locale=en" TargetMode="External"/><Relationship Id="rId24" Type="http://schemas.openxmlformats.org/officeDocument/2006/relationships/hyperlink" Target="file:///it" TargetMode="External"/><Relationship Id="rId40" Type="http://schemas.openxmlformats.org/officeDocument/2006/relationships/hyperlink" Target="file:///id" TargetMode="External"/><Relationship Id="rId45" Type="http://schemas.openxmlformats.org/officeDocument/2006/relationships/hyperlink" Target="file:///en/alerts" TargetMode="External"/><Relationship Id="rId66" Type="http://schemas.openxmlformats.org/officeDocument/2006/relationships/hyperlink" Target="file:///en/coins/ardor" TargetMode="External"/><Relationship Id="rId87" Type="http://schemas.openxmlformats.org/officeDocument/2006/relationships/hyperlink" Target="file:///en/coins/peakdefi" TargetMode="External"/><Relationship Id="rId110" Type="http://schemas.openxmlformats.org/officeDocument/2006/relationships/hyperlink" Target="file:///en/coins/hive" TargetMode="External"/><Relationship Id="rId115" Type="http://schemas.openxmlformats.org/officeDocument/2006/relationships/hyperlink" Target="file:///en/coins/ellipsis" TargetMode="External"/><Relationship Id="rId131" Type="http://schemas.openxmlformats.org/officeDocument/2006/relationships/hyperlink" Target="file:///en/coins/derivadao" TargetMode="External"/><Relationship Id="rId136" Type="http://schemas.openxmlformats.org/officeDocument/2006/relationships/hyperlink" Target="file:///en/coins/artery" TargetMode="External"/><Relationship Id="rId157" Type="http://schemas.openxmlformats.org/officeDocument/2006/relationships/hyperlink" Target="/en?page=2" TargetMode="External"/><Relationship Id="rId178" Type="http://schemas.openxmlformats.org/officeDocument/2006/relationships/hyperlink" Target="file:///en/coins/binance-coin" TargetMode="External"/><Relationship Id="rId61" Type="http://schemas.openxmlformats.org/officeDocument/2006/relationships/hyperlink" Target="file:///en/coins/status" TargetMode="External"/><Relationship Id="rId82" Type="http://schemas.openxmlformats.org/officeDocument/2006/relationships/hyperlink" Target="file:///en/coins/iexec-rlc" TargetMode="External"/><Relationship Id="rId152" Type="http://schemas.openxmlformats.org/officeDocument/2006/relationships/hyperlink" Target="file:///en/coins/chromia" TargetMode="External"/><Relationship Id="rId173" Type="http://schemas.openxmlformats.org/officeDocument/2006/relationships/hyperlink" Target="file:///en/coins/decentr" TargetMode="External"/><Relationship Id="rId194" Type="http://schemas.openxmlformats.org/officeDocument/2006/relationships/hyperlink" Target="https://twitter.com/coingecko" TargetMode="External"/><Relationship Id="rId199" Type="http://schemas.openxmlformats.org/officeDocument/2006/relationships/hyperlink" Target="https://discord.gg/EhrkaCH" TargetMode="External"/><Relationship Id="rId203" Type="http://schemas.openxmlformats.org/officeDocument/2006/relationships/hyperlink" Target="https://coingecko.page.link/app" TargetMode="External"/><Relationship Id="rId19" Type="http://schemas.openxmlformats.org/officeDocument/2006/relationships/hyperlink" Target="https://hackenproof.com/coingecko/coingecko" TargetMode="External"/><Relationship Id="rId14" Type="http://schemas.openxmlformats.org/officeDocument/2006/relationships/hyperlink" Target="file:///en/branding" TargetMode="External"/><Relationship Id="rId30" Type="http://schemas.openxmlformats.org/officeDocument/2006/relationships/hyperlink" Target="file:///sv" TargetMode="External"/><Relationship Id="rId35" Type="http://schemas.openxmlformats.org/officeDocument/2006/relationships/hyperlink" Target="file:///zh" TargetMode="External"/><Relationship Id="rId56" Type="http://schemas.openxmlformats.org/officeDocument/2006/relationships/hyperlink" Target="file:///en/coins/shiden-network" TargetMode="External"/><Relationship Id="rId77" Type="http://schemas.openxmlformats.org/officeDocument/2006/relationships/hyperlink" Target="file:///en/coins/alchemix-usd" TargetMode="External"/><Relationship Id="rId100" Type="http://schemas.openxmlformats.org/officeDocument/2006/relationships/hyperlink" Target="file:///en/coins/enzyme" TargetMode="External"/><Relationship Id="rId105" Type="http://schemas.openxmlformats.org/officeDocument/2006/relationships/hyperlink" Target="file:///en/coins/spell-token" TargetMode="External"/><Relationship Id="rId126" Type="http://schemas.openxmlformats.org/officeDocument/2006/relationships/hyperlink" Target="file:///en/coins/verasity" TargetMode="External"/><Relationship Id="rId147" Type="http://schemas.openxmlformats.org/officeDocument/2006/relationships/hyperlink" Target="file:///en/coins/dfi-money" TargetMode="External"/><Relationship Id="rId168" Type="http://schemas.openxmlformats.org/officeDocument/2006/relationships/hyperlink" Target="file:///en/coins/yield-app" TargetMode="External"/><Relationship Id="rId8" Type="http://schemas.openxmlformats.org/officeDocument/2006/relationships/hyperlink" Target="file:///en/categories/decentralized-finance-defi" TargetMode="External"/><Relationship Id="rId51" Type="http://schemas.openxmlformats.org/officeDocument/2006/relationships/hyperlink" Target="file:///en/categories/decentralized-finance-defi" TargetMode="External"/><Relationship Id="rId72" Type="http://schemas.openxmlformats.org/officeDocument/2006/relationships/hyperlink" Target="file:///en/coins/origin-protocol" TargetMode="External"/><Relationship Id="rId93" Type="http://schemas.openxmlformats.org/officeDocument/2006/relationships/hyperlink" Target="file:///en/coins/ark" TargetMode="External"/><Relationship Id="rId98" Type="http://schemas.openxmlformats.org/officeDocument/2006/relationships/hyperlink" Target="file:///en/coins/alchemy-pay" TargetMode="External"/><Relationship Id="rId121" Type="http://schemas.openxmlformats.org/officeDocument/2006/relationships/hyperlink" Target="file:///en/coins/truefi" TargetMode="External"/><Relationship Id="rId142" Type="http://schemas.openxmlformats.org/officeDocument/2006/relationships/hyperlink" Target="file:///en/coins/playdapp" TargetMode="External"/><Relationship Id="rId163" Type="http://schemas.openxmlformats.org/officeDocument/2006/relationships/hyperlink" Target="/en?page=95" TargetMode="External"/><Relationship Id="rId184" Type="http://schemas.openxmlformats.org/officeDocument/2006/relationships/hyperlink" Target="file:///en/disclaimer" TargetMode="External"/><Relationship Id="rId189" Type="http://schemas.openxmlformats.org/officeDocument/2006/relationships/hyperlink" Target="https://www.coingecko.com/request" TargetMode="External"/><Relationship Id="rId3" Type="http://schemas.openxmlformats.org/officeDocument/2006/relationships/hyperlink" Target="file:///en/premium" TargetMode="External"/><Relationship Id="rId25" Type="http://schemas.openxmlformats.org/officeDocument/2006/relationships/hyperlink" Target="file:///pl" TargetMode="External"/><Relationship Id="rId46" Type="http://schemas.openxmlformats.org/officeDocument/2006/relationships/hyperlink" Target="/account/candy?locale=en" TargetMode="External"/><Relationship Id="rId67" Type="http://schemas.openxmlformats.org/officeDocument/2006/relationships/hyperlink" Target="file:///en/coins/prometeus" TargetMode="External"/><Relationship Id="rId116" Type="http://schemas.openxmlformats.org/officeDocument/2006/relationships/hyperlink" Target="file:///en/coins/my-neighbor-alice" TargetMode="External"/><Relationship Id="rId137" Type="http://schemas.openxmlformats.org/officeDocument/2006/relationships/hyperlink" Target="file:///en/coins/pac-protocol" TargetMode="External"/><Relationship Id="rId158" Type="http://schemas.openxmlformats.org/officeDocument/2006/relationships/hyperlink" Target="/en?page=3" TargetMode="External"/><Relationship Id="rId20" Type="http://schemas.openxmlformats.org/officeDocument/2006/relationships/hyperlink" Target="file:///en" TargetMode="External"/><Relationship Id="rId41" Type="http://schemas.openxmlformats.org/officeDocument/2006/relationships/hyperlink" Target="file:///en" TargetMode="External"/><Relationship Id="rId62" Type="http://schemas.openxmlformats.org/officeDocument/2006/relationships/hyperlink" Target="file:///en/coins/civic" TargetMode="External"/><Relationship Id="rId83" Type="http://schemas.openxmlformats.org/officeDocument/2006/relationships/hyperlink" Target="file:///en/coins/orion-protocol" TargetMode="External"/><Relationship Id="rId88" Type="http://schemas.openxmlformats.org/officeDocument/2006/relationships/hyperlink" Target="file:///en/coins/rari-governance-token" TargetMode="External"/><Relationship Id="rId111" Type="http://schemas.openxmlformats.org/officeDocument/2006/relationships/hyperlink" Target="file:///en/coins/keep-network" TargetMode="External"/><Relationship Id="rId132" Type="http://schemas.openxmlformats.org/officeDocument/2006/relationships/hyperlink" Target="file:///en/coins/syscoin" TargetMode="External"/><Relationship Id="rId153" Type="http://schemas.openxmlformats.org/officeDocument/2006/relationships/hyperlink" Target="file:///en/coins/nucypher" TargetMode="External"/><Relationship Id="rId174" Type="http://schemas.openxmlformats.org/officeDocument/2006/relationships/hyperlink" Target="file:///en/coins/decentr" TargetMode="External"/><Relationship Id="rId179" Type="http://schemas.openxmlformats.org/officeDocument/2006/relationships/hyperlink" Target="file:///en/searchbox" TargetMode="External"/><Relationship Id="rId195" Type="http://schemas.openxmlformats.org/officeDocument/2006/relationships/hyperlink" Target="https://t.me/coingecko" TargetMode="External"/><Relationship Id="rId190" Type="http://schemas.openxmlformats.org/officeDocument/2006/relationships/hyperlink" Target="https://selfserve.coingecko.com/" TargetMode="External"/><Relationship Id="rId204" Type="http://schemas.openxmlformats.org/officeDocument/2006/relationships/hyperlink" Target="file:///en/privacy" TargetMode="External"/><Relationship Id="rId15" Type="http://schemas.openxmlformats.org/officeDocument/2006/relationships/hyperlink" Target="file:///en/premium" TargetMode="External"/><Relationship Id="rId36" Type="http://schemas.openxmlformats.org/officeDocument/2006/relationships/hyperlink" Target="file:///zh-tw" TargetMode="External"/><Relationship Id="rId57" Type="http://schemas.openxmlformats.org/officeDocument/2006/relationships/hyperlink" Target="file:///en/coins/bonfida" TargetMode="External"/><Relationship Id="rId106" Type="http://schemas.openxmlformats.org/officeDocument/2006/relationships/hyperlink" Target="file:///en/coins/fun-token" TargetMode="External"/><Relationship Id="rId127" Type="http://schemas.openxmlformats.org/officeDocument/2006/relationships/hyperlink" Target="file:///en/coins/radicle" TargetMode="External"/><Relationship Id="rId10" Type="http://schemas.openxmlformats.org/officeDocument/2006/relationships/hyperlink" Target="file:///en/explain/bitcoin_halving" TargetMode="External"/><Relationship Id="rId31" Type="http://schemas.openxmlformats.org/officeDocument/2006/relationships/hyperlink" Target="file:///vi" TargetMode="External"/><Relationship Id="rId52" Type="http://schemas.openxmlformats.org/officeDocument/2006/relationships/hyperlink" Target="file:///en/nft" TargetMode="External"/><Relationship Id="rId73" Type="http://schemas.openxmlformats.org/officeDocument/2006/relationships/hyperlink" Target="file:///en/coins/tokamak-network" TargetMode="External"/><Relationship Id="rId78" Type="http://schemas.openxmlformats.org/officeDocument/2006/relationships/hyperlink" Target="file:///en/coins/convex-finance" TargetMode="External"/><Relationship Id="rId94" Type="http://schemas.openxmlformats.org/officeDocument/2006/relationships/hyperlink" Target="file:///en/coins/sapphire" TargetMode="External"/><Relationship Id="rId99" Type="http://schemas.openxmlformats.org/officeDocument/2006/relationships/hyperlink" Target="file:///en/coins/balancer" TargetMode="External"/><Relationship Id="rId101" Type="http://schemas.openxmlformats.org/officeDocument/2006/relationships/hyperlink" Target="file:///en/coins/adventure-gold" TargetMode="External"/><Relationship Id="rId122" Type="http://schemas.openxmlformats.org/officeDocument/2006/relationships/hyperlink" Target="file:///en/coins/math" TargetMode="External"/><Relationship Id="rId143" Type="http://schemas.openxmlformats.org/officeDocument/2006/relationships/hyperlink" Target="file:///en/coins/bounce" TargetMode="External"/><Relationship Id="rId148" Type="http://schemas.openxmlformats.org/officeDocument/2006/relationships/hyperlink" Target="file:///en/coins/wonderland" TargetMode="External"/><Relationship Id="rId164" Type="http://schemas.openxmlformats.org/officeDocument/2006/relationships/hyperlink" Target="/en?page=4" TargetMode="External"/><Relationship Id="rId169" Type="http://schemas.openxmlformats.org/officeDocument/2006/relationships/hyperlink" Target="file:///en/coins/avalanche" TargetMode="External"/><Relationship Id="rId185" Type="http://schemas.openxmlformats.org/officeDocument/2006/relationships/hyperlink" Target="file:///en/about" TargetMode="External"/><Relationship Id="rId4" Type="http://schemas.openxmlformats.org/officeDocument/2006/relationships/hyperlink" Target="file:///en" TargetMode="External"/><Relationship Id="rId9" Type="http://schemas.openxmlformats.org/officeDocument/2006/relationships/hyperlink" Target="file:///en/portfolio" TargetMode="External"/><Relationship Id="rId180" Type="http://schemas.openxmlformats.org/officeDocument/2006/relationships/hyperlink" Target="file:///en/categories" TargetMode="External"/><Relationship Id="rId26" Type="http://schemas.openxmlformats.org/officeDocument/2006/relationships/hyperlink" Target="file:///ro" TargetMode="External"/><Relationship Id="rId47" Type="http://schemas.openxmlformats.org/officeDocument/2006/relationships/hyperlink" Target="/account/rewards?locale=en" TargetMode="External"/><Relationship Id="rId68" Type="http://schemas.openxmlformats.org/officeDocument/2006/relationships/hyperlink" Target="file:///en/coins/eden" TargetMode="External"/><Relationship Id="rId89" Type="http://schemas.openxmlformats.org/officeDocument/2006/relationships/hyperlink" Target="file:///en/coins/maidsafecoin" TargetMode="External"/><Relationship Id="rId112" Type="http://schemas.openxmlformats.org/officeDocument/2006/relationships/hyperlink" Target="file:///en/coins/klever" TargetMode="External"/><Relationship Id="rId133" Type="http://schemas.openxmlformats.org/officeDocument/2006/relationships/hyperlink" Target="file:///en/coins/wrapped-centrifuge" TargetMode="External"/><Relationship Id="rId154" Type="http://schemas.openxmlformats.org/officeDocument/2006/relationships/hyperlink" Target="file:///en/coins/tether-gold" TargetMode="External"/><Relationship Id="rId175" Type="http://schemas.openxmlformats.org/officeDocument/2006/relationships/hyperlink" Target="file:///en/coins/terra-luna" TargetMode="External"/><Relationship Id="rId196" Type="http://schemas.openxmlformats.org/officeDocument/2006/relationships/hyperlink" Target="https://t.me/coingeckonews" TargetMode="External"/><Relationship Id="rId200" Type="http://schemas.openxmlformats.org/officeDocument/2006/relationships/hyperlink" Target="https://www.facebook.com/coingecko" TargetMode="External"/><Relationship Id="rId16" Type="http://schemas.openxmlformats.org/officeDocument/2006/relationships/hyperlink" Target="file:///en/faq" TargetMode="External"/><Relationship Id="rId37" Type="http://schemas.openxmlformats.org/officeDocument/2006/relationships/hyperlink" Target="file:///ko" TargetMode="External"/><Relationship Id="rId58" Type="http://schemas.openxmlformats.org/officeDocument/2006/relationships/hyperlink" Target="file:///en/coins/chia" TargetMode="External"/><Relationship Id="rId79" Type="http://schemas.openxmlformats.org/officeDocument/2006/relationships/hyperlink" Target="file:///en/coins/venus" TargetMode="External"/><Relationship Id="rId102" Type="http://schemas.openxmlformats.org/officeDocument/2006/relationships/hyperlink" Target="file:///en/coins/compound-uniswap" TargetMode="External"/><Relationship Id="rId123" Type="http://schemas.openxmlformats.org/officeDocument/2006/relationships/hyperlink" Target="file:///en/coins/sentinel" TargetMode="External"/><Relationship Id="rId144" Type="http://schemas.openxmlformats.org/officeDocument/2006/relationships/hyperlink" Target="file:///en/coins/rally" TargetMode="External"/><Relationship Id="rId90" Type="http://schemas.openxmlformats.org/officeDocument/2006/relationships/hyperlink" Target="file:///en/coins/dero" TargetMode="External"/><Relationship Id="rId165" Type="http://schemas.openxmlformats.org/officeDocument/2006/relationships/hyperlink" Target="file:///en/coins/dydx" TargetMode="External"/><Relationship Id="rId186" Type="http://schemas.openxmlformats.org/officeDocument/2006/relationships/hyperlink" Target="file:///en/methodology" TargetMode="External"/><Relationship Id="rId27" Type="http://schemas.openxmlformats.org/officeDocument/2006/relationships/hyperlink" Target="file:///hu" TargetMode="External"/><Relationship Id="rId48" Type="http://schemas.openxmlformats.org/officeDocument/2006/relationships/hyperlink" Target="/account/security?locale=en" TargetMode="External"/><Relationship Id="rId69" Type="http://schemas.openxmlformats.org/officeDocument/2006/relationships/hyperlink" Target="file:///en/coins/tokemak" TargetMode="External"/><Relationship Id="rId113" Type="http://schemas.openxmlformats.org/officeDocument/2006/relationships/hyperlink" Target="file:///en/coins/dodo" TargetMode="External"/><Relationship Id="rId134" Type="http://schemas.openxmlformats.org/officeDocument/2006/relationships/hyperlink" Target="file:///en/coins/tenset" TargetMode="External"/><Relationship Id="rId80" Type="http://schemas.openxmlformats.org/officeDocument/2006/relationships/hyperlink" Target="file:///en/coins/numeraire" TargetMode="External"/><Relationship Id="rId155" Type="http://schemas.openxmlformats.org/officeDocument/2006/relationships/hyperlink" Target="/en?page=2" TargetMode="External"/><Relationship Id="rId176" Type="http://schemas.openxmlformats.org/officeDocument/2006/relationships/hyperlink" Target="file:///en/coins/terra-luna" TargetMode="External"/><Relationship Id="rId197" Type="http://schemas.openxmlformats.org/officeDocument/2006/relationships/hyperlink" Target="https://www.instagram.com/coingecko/" TargetMode="External"/><Relationship Id="rId201" Type="http://schemas.openxmlformats.org/officeDocument/2006/relationships/hyperlink" Target="https://www.youtube.com/channel/UC-OTgwOAI7KmP0eDAtqN3Ow" TargetMode="External"/><Relationship Id="rId17" Type="http://schemas.openxmlformats.org/officeDocument/2006/relationships/hyperlink" Target="https://support.coingecko.com/help_center" TargetMode="External"/><Relationship Id="rId38" Type="http://schemas.openxmlformats.org/officeDocument/2006/relationships/hyperlink" Target="file:///ar" TargetMode="External"/><Relationship Id="rId59" Type="http://schemas.openxmlformats.org/officeDocument/2006/relationships/hyperlink" Target="file:///en/coins/secret" TargetMode="External"/><Relationship Id="rId103" Type="http://schemas.openxmlformats.org/officeDocument/2006/relationships/hyperlink" Target="file:///en/coins/sbtc" TargetMode="External"/><Relationship Id="rId124" Type="http://schemas.openxmlformats.org/officeDocument/2006/relationships/hyperlink" Target="file:///en/coins/tomochain" TargetMode="External"/><Relationship Id="rId70" Type="http://schemas.openxmlformats.org/officeDocument/2006/relationships/hyperlink" Target="file:///en/coins/gemini-dollar" TargetMode="External"/><Relationship Id="rId91" Type="http://schemas.openxmlformats.org/officeDocument/2006/relationships/hyperlink" Target="file:///en/coins/stormx" TargetMode="External"/><Relationship Id="rId145" Type="http://schemas.openxmlformats.org/officeDocument/2006/relationships/hyperlink" Target="file:///en/coins/newscrypto-coin" TargetMode="External"/><Relationship Id="rId166" Type="http://schemas.openxmlformats.org/officeDocument/2006/relationships/hyperlink" Target="file:///en/coins/dydx" TargetMode="External"/><Relationship Id="rId187" Type="http://schemas.openxmlformats.org/officeDocument/2006/relationships/hyperlink" Target="file:///en/careers" TargetMode="External"/><Relationship Id="rId1" Type="http://schemas.openxmlformats.org/officeDocument/2006/relationships/hyperlink" Target="https://support.coingecko.com/help" TargetMode="External"/><Relationship Id="rId28" Type="http://schemas.openxmlformats.org/officeDocument/2006/relationships/hyperlink" Target="file:///nl" TargetMode="External"/><Relationship Id="rId49" Type="http://schemas.openxmlformats.org/officeDocument/2006/relationships/hyperlink" Target="/account/subscriptions?locale=en" TargetMode="External"/><Relationship Id="rId114" Type="http://schemas.openxmlformats.org/officeDocument/2006/relationships/hyperlink" Target="file:///en/coins/flex-coin" TargetMode="External"/><Relationship Id="rId60" Type="http://schemas.openxmlformats.org/officeDocument/2006/relationships/hyperlink" Target="file:///en/coins/tribe" TargetMode="External"/><Relationship Id="rId81" Type="http://schemas.openxmlformats.org/officeDocument/2006/relationships/hyperlink" Target="file:///en/coins/ton-crystal" TargetMode="External"/><Relationship Id="rId135" Type="http://schemas.openxmlformats.org/officeDocument/2006/relationships/hyperlink" Target="file:///en/coins/frax-share" TargetMode="External"/><Relationship Id="rId156" Type="http://schemas.openxmlformats.org/officeDocument/2006/relationships/hyperlink" Target="/en?page=1" TargetMode="External"/><Relationship Id="rId177" Type="http://schemas.openxmlformats.org/officeDocument/2006/relationships/hyperlink" Target="file:///en/coins/binance-coin" TargetMode="External"/><Relationship Id="rId198" Type="http://schemas.openxmlformats.org/officeDocument/2006/relationships/hyperlink" Target="https://www.reddit.com/r/coingecko/" TargetMode="External"/><Relationship Id="rId202" Type="http://schemas.openxmlformats.org/officeDocument/2006/relationships/hyperlink" Target="https://coingecko.page.link/app" TargetMode="External"/><Relationship Id="rId18" Type="http://schemas.openxmlformats.org/officeDocument/2006/relationships/hyperlink" Target="https://support.coingecko.com/" TargetMode="External"/><Relationship Id="rId39" Type="http://schemas.openxmlformats.org/officeDocument/2006/relationships/hyperlink" Target="file:///th" TargetMode="External"/><Relationship Id="rId50" Type="http://schemas.openxmlformats.org/officeDocument/2006/relationships/hyperlink" Target="/account/sign_out?locale=en" TargetMode="External"/><Relationship Id="rId104" Type="http://schemas.openxmlformats.org/officeDocument/2006/relationships/hyperlink" Target="file:///en/coins/alien-worlds" TargetMode="External"/><Relationship Id="rId125" Type="http://schemas.openxmlformats.org/officeDocument/2006/relationships/hyperlink" Target="file:///en/coins/orchid-protocol" TargetMode="External"/><Relationship Id="rId146" Type="http://schemas.openxmlformats.org/officeDocument/2006/relationships/hyperlink" Target="file:///en/coins/rsk-infrastructure-framework" TargetMode="External"/><Relationship Id="rId167" Type="http://schemas.openxmlformats.org/officeDocument/2006/relationships/hyperlink" Target="file:///en/coins/yield-app" TargetMode="External"/><Relationship Id="rId188" Type="http://schemas.openxmlformats.org/officeDocument/2006/relationships/hyperlink" Target="file:///en/branding" TargetMode="External"/><Relationship Id="rId71" Type="http://schemas.openxmlformats.org/officeDocument/2006/relationships/hyperlink" Target="file:///en/coins/pundi-x-old" TargetMode="External"/><Relationship Id="rId92" Type="http://schemas.openxmlformats.org/officeDocument/2006/relationships/hyperlink" Target="file:///en/coins/oasis-network" TargetMode="External"/><Relationship Id="rId2" Type="http://schemas.openxmlformats.org/officeDocument/2006/relationships/hyperlink" Target="/account/candy?locale=en" TargetMode="External"/><Relationship Id="rId29" Type="http://schemas.openxmlformats.org/officeDocument/2006/relationships/hyperlink" Target="file:///p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2CF18-BEE8-9E4C-93D7-BC029593C2E9}">
  <sheetPr codeName="Sheet7"/>
  <dimension ref="A1:R47"/>
  <sheetViews>
    <sheetView tabSelected="1" zoomScale="80" zoomScaleNormal="80" workbookViewId="0">
      <selection activeCell="B4" sqref="B4"/>
    </sheetView>
  </sheetViews>
  <sheetFormatPr baseColWidth="10" defaultColWidth="24.6640625" defaultRowHeight="26" customHeight="1" x14ac:dyDescent="0.2"/>
  <cols>
    <col min="1" max="1" width="10.33203125" style="70" customWidth="1"/>
    <col min="2" max="2" width="17" style="71" customWidth="1"/>
    <col min="3" max="4" width="24.6640625" style="71"/>
    <col min="5" max="5" width="22" style="71" customWidth="1"/>
    <col min="6" max="6" width="24.6640625" style="71"/>
    <col min="7" max="7" width="24.5" style="71" customWidth="1"/>
    <col min="8" max="9" width="24.6640625" style="71"/>
    <col min="10" max="10" width="22" style="70" customWidth="1"/>
    <col min="11" max="11" width="31.83203125" style="71" bestFit="1" customWidth="1"/>
    <col min="12" max="12" width="24.6640625" style="71" customWidth="1"/>
    <col min="13" max="13" width="24.6640625" style="70"/>
    <col min="14" max="16384" width="24.6640625" style="71"/>
  </cols>
  <sheetData>
    <row r="1" spans="1:17" s="78" customFormat="1" ht="26" customHeight="1" x14ac:dyDescent="0.2">
      <c r="B1" s="79"/>
      <c r="C1" s="79"/>
      <c r="D1" s="79"/>
      <c r="E1" s="79"/>
      <c r="F1" s="79"/>
      <c r="G1" s="79"/>
      <c r="H1" s="79"/>
      <c r="I1" s="79"/>
      <c r="J1" s="79"/>
      <c r="K1" s="79"/>
      <c r="L1" s="79"/>
      <c r="M1" s="79"/>
      <c r="N1" s="79"/>
      <c r="O1" s="79"/>
    </row>
    <row r="2" spans="1:17" s="80" customFormat="1" ht="26" customHeight="1" thickBot="1" x14ac:dyDescent="0.25">
      <c r="B2" s="81"/>
      <c r="C2" s="81"/>
      <c r="D2" s="81"/>
      <c r="E2" s="81"/>
      <c r="F2" s="81"/>
      <c r="G2" s="81"/>
      <c r="H2" s="81"/>
      <c r="I2" s="81"/>
      <c r="J2" s="81"/>
      <c r="K2" s="81"/>
      <c r="L2" s="81"/>
      <c r="M2" s="81"/>
      <c r="N2" s="81"/>
      <c r="O2" s="81"/>
    </row>
    <row r="3" spans="1:17" customFormat="1" ht="26" customHeight="1" thickBot="1" x14ac:dyDescent="0.3">
      <c r="A3" s="85"/>
      <c r="B3" s="54" t="s">
        <v>0</v>
      </c>
      <c r="C3" s="55" t="s">
        <v>1083</v>
      </c>
      <c r="D3" s="56" t="s">
        <v>1</v>
      </c>
      <c r="E3" s="56" t="s">
        <v>1087</v>
      </c>
      <c r="F3" s="55" t="s">
        <v>1086</v>
      </c>
      <c r="G3" s="57" t="s">
        <v>5</v>
      </c>
      <c r="H3" s="57" t="s">
        <v>1391</v>
      </c>
      <c r="I3" s="55" t="s">
        <v>4</v>
      </c>
      <c r="J3" s="82"/>
      <c r="K3" s="88" t="s">
        <v>1371</v>
      </c>
      <c r="L3" s="88"/>
      <c r="M3" s="58"/>
      <c r="N3" s="90" t="s">
        <v>1390</v>
      </c>
      <c r="O3" s="91"/>
      <c r="P3" s="59"/>
      <c r="Q3" s="72"/>
    </row>
    <row r="4" spans="1:17" customFormat="1" ht="26" customHeight="1" thickBot="1" x14ac:dyDescent="0.3">
      <c r="A4" s="85"/>
      <c r="B4" s="39" t="s">
        <v>89</v>
      </c>
      <c r="C4" s="2">
        <f>D4*E4</f>
        <v>40000</v>
      </c>
      <c r="D4" s="2">
        <v>2</v>
      </c>
      <c r="E4" s="2">
        <v>20000</v>
      </c>
      <c r="F4" s="76" t="str">
        <f>VLOOKUP(B4,  Data!$A$4:$J$304, 10, FALSE)</f>
        <v>41,257</v>
      </c>
      <c r="G4" s="2">
        <f>D4*F4</f>
        <v>82514</v>
      </c>
      <c r="H4" s="1">
        <f>G4-C4</f>
        <v>42514</v>
      </c>
      <c r="I4" s="12">
        <f>(H4/C4)*100</f>
        <v>106.28500000000001</v>
      </c>
      <c r="J4" s="82"/>
      <c r="K4" s="89">
        <v>1000</v>
      </c>
      <c r="L4" s="89"/>
      <c r="M4" s="58"/>
      <c r="N4" s="49" t="s">
        <v>0</v>
      </c>
      <c r="O4" s="33" t="s">
        <v>2</v>
      </c>
      <c r="P4" s="59"/>
      <c r="Q4" s="73"/>
    </row>
    <row r="5" spans="1:17" customFormat="1" ht="26" customHeight="1" thickBot="1" x14ac:dyDescent="0.3">
      <c r="A5" s="85"/>
      <c r="B5" s="40"/>
      <c r="C5" s="3"/>
      <c r="D5" s="3"/>
      <c r="E5" s="3"/>
      <c r="F5" s="12"/>
      <c r="G5" s="3"/>
      <c r="H5" s="1"/>
      <c r="I5" s="12"/>
      <c r="J5" s="82"/>
      <c r="K5" s="89"/>
      <c r="L5" s="89"/>
      <c r="M5" s="58"/>
      <c r="N5" s="50" t="s">
        <v>9</v>
      </c>
      <c r="O5" s="32">
        <v>20</v>
      </c>
      <c r="P5" s="59"/>
      <c r="Q5" s="73"/>
    </row>
    <row r="6" spans="1:17" customFormat="1" ht="26" customHeight="1" thickBot="1" x14ac:dyDescent="0.3">
      <c r="A6" s="85"/>
      <c r="B6" s="40"/>
      <c r="C6" s="3"/>
      <c r="D6" s="3"/>
      <c r="E6" s="3"/>
      <c r="F6" s="12"/>
      <c r="G6" s="3"/>
      <c r="H6" s="1"/>
      <c r="I6" s="12"/>
      <c r="J6" s="83"/>
      <c r="K6" s="87"/>
      <c r="L6" s="87"/>
      <c r="M6" s="63"/>
      <c r="N6" s="50" t="s">
        <v>8</v>
      </c>
      <c r="O6" s="32">
        <v>0.8</v>
      </c>
      <c r="P6" s="59"/>
      <c r="Q6" s="73"/>
    </row>
    <row r="7" spans="1:17" customFormat="1" ht="26" customHeight="1" thickBot="1" x14ac:dyDescent="0.3">
      <c r="A7" s="85"/>
      <c r="B7" s="40"/>
      <c r="C7" s="3"/>
      <c r="D7" s="3"/>
      <c r="E7" s="3"/>
      <c r="F7" s="12"/>
      <c r="G7" s="3"/>
      <c r="H7" s="1"/>
      <c r="I7" s="12"/>
      <c r="J7" s="82"/>
      <c r="K7" s="92" t="s">
        <v>1084</v>
      </c>
      <c r="L7" s="93"/>
      <c r="M7" s="58"/>
      <c r="N7" s="51" t="s">
        <v>1389</v>
      </c>
      <c r="O7" s="60">
        <f>O5*O6</f>
        <v>16</v>
      </c>
      <c r="P7" s="59"/>
      <c r="Q7" s="73"/>
    </row>
    <row r="8" spans="1:17" customFormat="1" ht="26" customHeight="1" x14ac:dyDescent="0.25">
      <c r="A8" s="85"/>
      <c r="B8" s="40"/>
      <c r="C8" s="3"/>
      <c r="D8" s="3"/>
      <c r="E8" s="3"/>
      <c r="F8" s="12"/>
      <c r="G8" s="3"/>
      <c r="H8" s="1"/>
      <c r="I8" s="12"/>
      <c r="J8" s="82"/>
      <c r="K8" s="39" t="s">
        <v>1085</v>
      </c>
      <c r="L8" s="45">
        <f>SUM(C4:C30)+K4</f>
        <v>41000</v>
      </c>
      <c r="M8" s="58"/>
      <c r="O8" s="74"/>
      <c r="P8" s="59"/>
      <c r="Q8" s="73"/>
    </row>
    <row r="9" spans="1:17" customFormat="1" ht="26" customHeight="1" thickBot="1" x14ac:dyDescent="0.3">
      <c r="A9" s="85"/>
      <c r="B9" s="40"/>
      <c r="C9" s="3"/>
      <c r="D9" s="3"/>
      <c r="E9" s="3"/>
      <c r="F9" s="12"/>
      <c r="G9" s="3"/>
      <c r="H9" s="1"/>
      <c r="I9" s="12"/>
      <c r="J9" s="82"/>
      <c r="K9" s="40" t="s">
        <v>1385</v>
      </c>
      <c r="L9" s="42">
        <f>SUM(G4:G30)+K4</f>
        <v>83514</v>
      </c>
      <c r="M9" s="58"/>
      <c r="N9" s="34"/>
      <c r="O9" s="75"/>
      <c r="P9" s="59"/>
      <c r="Q9" s="73"/>
    </row>
    <row r="10" spans="1:17" customFormat="1" ht="26" customHeight="1" x14ac:dyDescent="0.25">
      <c r="A10" s="85"/>
      <c r="B10" s="40"/>
      <c r="C10" s="3"/>
      <c r="D10" s="3"/>
      <c r="E10" s="3"/>
      <c r="F10" s="12"/>
      <c r="G10" s="3"/>
      <c r="H10" s="1"/>
      <c r="I10" s="12"/>
      <c r="J10" s="82"/>
      <c r="K10" s="40" t="s">
        <v>1386</v>
      </c>
      <c r="L10" s="42">
        <f>L9-L8</f>
        <v>42514</v>
      </c>
      <c r="M10" s="61"/>
      <c r="N10" s="94"/>
      <c r="O10" s="94"/>
      <c r="P10" s="65"/>
      <c r="Q10" s="73"/>
    </row>
    <row r="11" spans="1:17" customFormat="1" ht="26" customHeight="1" thickBot="1" x14ac:dyDescent="0.3">
      <c r="A11" s="85"/>
      <c r="B11" s="40"/>
      <c r="C11" s="3"/>
      <c r="D11" s="3"/>
      <c r="E11" s="3"/>
      <c r="F11" s="12"/>
      <c r="G11" s="3"/>
      <c r="H11" s="1"/>
      <c r="I11" s="12"/>
      <c r="J11" s="82"/>
      <c r="K11" s="43" t="s">
        <v>1387</v>
      </c>
      <c r="L11" s="46">
        <f>(L10/L8)*100</f>
        <v>103.69268292682928</v>
      </c>
      <c r="M11" s="61"/>
      <c r="N11" s="83"/>
      <c r="O11" s="83"/>
      <c r="P11" s="65"/>
      <c r="Q11" s="73"/>
    </row>
    <row r="12" spans="1:17" customFormat="1" ht="26" customHeight="1" thickBot="1" x14ac:dyDescent="0.3">
      <c r="A12" s="85"/>
      <c r="B12" s="40"/>
      <c r="C12" s="3"/>
      <c r="D12" s="3"/>
      <c r="E12" s="3"/>
      <c r="F12" s="12"/>
      <c r="G12" s="3"/>
      <c r="H12" s="1"/>
      <c r="I12" s="12"/>
      <c r="J12" s="83"/>
      <c r="K12" s="87"/>
      <c r="L12" s="87"/>
      <c r="M12" s="64"/>
      <c r="N12" s="84"/>
      <c r="O12" s="84"/>
      <c r="P12" s="65"/>
      <c r="Q12" s="73"/>
    </row>
    <row r="13" spans="1:17" customFormat="1" ht="26" customHeight="1" thickBot="1" x14ac:dyDescent="0.3">
      <c r="A13" s="85"/>
      <c r="B13" s="40"/>
      <c r="C13" s="3"/>
      <c r="D13" s="3"/>
      <c r="E13" s="3"/>
      <c r="F13" s="12"/>
      <c r="G13" s="3"/>
      <c r="H13" s="1"/>
      <c r="I13" s="12"/>
      <c r="J13" s="82"/>
      <c r="K13" s="92" t="s">
        <v>1388</v>
      </c>
      <c r="L13" s="93"/>
      <c r="M13" s="58"/>
      <c r="N13" s="92" t="s">
        <v>1392</v>
      </c>
      <c r="O13" s="93"/>
      <c r="P13" s="59"/>
      <c r="Q13" s="73"/>
    </row>
    <row r="14" spans="1:17" customFormat="1" ht="26" customHeight="1" x14ac:dyDescent="0.25">
      <c r="A14" s="85"/>
      <c r="B14" s="40"/>
      <c r="C14" s="3"/>
      <c r="D14" s="3"/>
      <c r="E14" s="3"/>
      <c r="F14" s="12"/>
      <c r="G14" s="3"/>
      <c r="H14" s="1"/>
      <c r="I14" s="12"/>
      <c r="J14" s="82"/>
      <c r="K14" s="39" t="s">
        <v>89</v>
      </c>
      <c r="L14" s="47">
        <f>(VLOOKUP(K14, $B$3:$I$30, 2, FALSE)/$L$8)*100</f>
        <v>97.560975609756099</v>
      </c>
      <c r="M14" s="58"/>
      <c r="N14" s="39" t="s">
        <v>89</v>
      </c>
      <c r="O14" s="38">
        <f>VLOOKUP(N14, Data!$A$4:$K$304, 11, FALSE)</f>
        <v>-1.7000000000000002</v>
      </c>
      <c r="P14" s="59"/>
      <c r="Q14" s="73"/>
    </row>
    <row r="15" spans="1:17" customFormat="1" ht="26" customHeight="1" x14ac:dyDescent="0.25">
      <c r="A15" s="85"/>
      <c r="B15" s="40"/>
      <c r="C15" s="3"/>
      <c r="D15" s="3"/>
      <c r="E15" s="3"/>
      <c r="F15" s="12"/>
      <c r="G15" s="3"/>
      <c r="H15" s="1"/>
      <c r="I15" s="12"/>
      <c r="J15" s="82"/>
      <c r="K15" s="40"/>
      <c r="L15" s="48"/>
      <c r="M15" s="58"/>
      <c r="N15" s="40"/>
      <c r="O15" s="36"/>
      <c r="P15" s="59"/>
      <c r="Q15" s="73"/>
    </row>
    <row r="16" spans="1:17" customFormat="1" ht="26" customHeight="1" x14ac:dyDescent="0.25">
      <c r="A16" s="85"/>
      <c r="B16" s="40"/>
      <c r="C16" s="3"/>
      <c r="D16" s="3"/>
      <c r="E16" s="3"/>
      <c r="F16" s="12"/>
      <c r="G16" s="3"/>
      <c r="H16" s="1"/>
      <c r="I16" s="12"/>
      <c r="J16" s="82"/>
      <c r="K16" s="40"/>
      <c r="L16" s="48"/>
      <c r="M16" s="58"/>
      <c r="N16" s="40"/>
      <c r="O16" s="36"/>
      <c r="P16" s="59"/>
      <c r="Q16" s="73"/>
    </row>
    <row r="17" spans="1:18" customFormat="1" ht="26" customHeight="1" x14ac:dyDescent="0.25">
      <c r="A17" s="85"/>
      <c r="B17" s="40"/>
      <c r="C17" s="3"/>
      <c r="D17" s="3"/>
      <c r="E17" s="3"/>
      <c r="F17" s="12"/>
      <c r="G17" s="3"/>
      <c r="H17" s="1"/>
      <c r="I17" s="12"/>
      <c r="J17" s="82"/>
      <c r="K17" s="40"/>
      <c r="L17" s="48"/>
      <c r="M17" s="58"/>
      <c r="N17" s="40"/>
      <c r="O17" s="36"/>
      <c r="P17" s="59"/>
      <c r="Q17" s="73"/>
    </row>
    <row r="18" spans="1:18" customFormat="1" ht="26" customHeight="1" x14ac:dyDescent="0.25">
      <c r="A18" s="85"/>
      <c r="B18" s="40"/>
      <c r="C18" s="3"/>
      <c r="D18" s="3"/>
      <c r="E18" s="3"/>
      <c r="F18" s="12"/>
      <c r="G18" s="3"/>
      <c r="H18" s="1"/>
      <c r="I18" s="12"/>
      <c r="J18" s="82"/>
      <c r="K18" s="40"/>
      <c r="L18" s="48"/>
      <c r="M18" s="58"/>
      <c r="N18" s="40"/>
      <c r="O18" s="36"/>
      <c r="P18" s="59"/>
      <c r="Q18" s="73"/>
    </row>
    <row r="19" spans="1:18" customFormat="1" ht="26" customHeight="1" x14ac:dyDescent="0.25">
      <c r="A19" s="85"/>
      <c r="B19" s="40"/>
      <c r="C19" s="3"/>
      <c r="D19" s="3"/>
      <c r="E19" s="3"/>
      <c r="F19" s="12"/>
      <c r="G19" s="3"/>
      <c r="H19" s="1"/>
      <c r="I19" s="12"/>
      <c r="J19" s="82"/>
      <c r="K19" s="40"/>
      <c r="L19" s="48"/>
      <c r="M19" s="58"/>
      <c r="N19" s="40"/>
      <c r="O19" s="36"/>
      <c r="P19" s="59"/>
      <c r="Q19" s="73"/>
    </row>
    <row r="20" spans="1:18" customFormat="1" ht="26" customHeight="1" x14ac:dyDescent="0.25">
      <c r="A20" s="85"/>
      <c r="B20" s="40"/>
      <c r="C20" s="3"/>
      <c r="D20" s="3"/>
      <c r="E20" s="3"/>
      <c r="F20" s="12"/>
      <c r="G20" s="3"/>
      <c r="H20" s="1"/>
      <c r="I20" s="12"/>
      <c r="J20" s="82"/>
      <c r="K20" s="40"/>
      <c r="L20" s="48"/>
      <c r="M20" s="58"/>
      <c r="N20" s="40"/>
      <c r="O20" s="36"/>
      <c r="P20" s="59"/>
      <c r="Q20" s="73"/>
    </row>
    <row r="21" spans="1:18" customFormat="1" ht="26" customHeight="1" x14ac:dyDescent="0.25">
      <c r="A21" s="85"/>
      <c r="B21" s="40"/>
      <c r="C21" s="3"/>
      <c r="D21" s="3"/>
      <c r="E21" s="3"/>
      <c r="F21" s="12"/>
      <c r="G21" s="3"/>
      <c r="H21" s="1"/>
      <c r="I21" s="12"/>
      <c r="J21" s="82"/>
      <c r="K21" s="40"/>
      <c r="L21" s="48"/>
      <c r="M21" s="58"/>
      <c r="N21" s="40"/>
      <c r="O21" s="31"/>
      <c r="P21" s="59"/>
      <c r="Q21" s="73"/>
      <c r="R21" s="62"/>
    </row>
    <row r="22" spans="1:18" customFormat="1" ht="26" customHeight="1" x14ac:dyDescent="0.25">
      <c r="A22" s="85"/>
      <c r="B22" s="40"/>
      <c r="C22" s="3"/>
      <c r="D22" s="3"/>
      <c r="E22" s="3"/>
      <c r="F22" s="12"/>
      <c r="G22" s="3"/>
      <c r="H22" s="1"/>
      <c r="I22" s="12"/>
      <c r="J22" s="82"/>
      <c r="K22" s="40"/>
      <c r="L22" s="48"/>
      <c r="M22" s="58"/>
      <c r="N22" s="52"/>
      <c r="O22" s="31"/>
      <c r="P22" s="59"/>
      <c r="Q22" s="73"/>
      <c r="R22" s="62"/>
    </row>
    <row r="23" spans="1:18" customFormat="1" ht="26" customHeight="1" x14ac:dyDescent="0.25">
      <c r="A23" s="85"/>
      <c r="B23" s="40"/>
      <c r="C23" s="3"/>
      <c r="D23" s="3"/>
      <c r="E23" s="3"/>
      <c r="F23" s="12"/>
      <c r="G23" s="3"/>
      <c r="H23" s="1"/>
      <c r="I23" s="12"/>
      <c r="J23" s="82"/>
      <c r="K23" s="44"/>
      <c r="L23" s="48"/>
      <c r="M23" s="58"/>
      <c r="N23" s="52"/>
      <c r="O23" s="31"/>
      <c r="P23" s="59"/>
      <c r="Q23" s="73"/>
      <c r="R23" s="62"/>
    </row>
    <row r="24" spans="1:18" customFormat="1" ht="26" customHeight="1" x14ac:dyDescent="0.25">
      <c r="A24" s="85"/>
      <c r="B24" s="40"/>
      <c r="C24" s="3"/>
      <c r="D24" s="3"/>
      <c r="E24" s="3"/>
      <c r="F24" s="12"/>
      <c r="G24" s="3"/>
      <c r="H24" s="1"/>
      <c r="I24" s="12"/>
      <c r="J24" s="82"/>
      <c r="K24" s="44"/>
      <c r="L24" s="48"/>
      <c r="M24" s="58"/>
      <c r="N24" s="52"/>
      <c r="O24" s="31"/>
      <c r="P24" s="59"/>
      <c r="Q24" s="73"/>
      <c r="R24" s="62"/>
    </row>
    <row r="25" spans="1:18" customFormat="1" ht="26" customHeight="1" x14ac:dyDescent="0.25">
      <c r="A25" s="85"/>
      <c r="B25" s="40"/>
      <c r="C25" s="3"/>
      <c r="D25" s="3"/>
      <c r="E25" s="3"/>
      <c r="F25" s="12"/>
      <c r="G25" s="3"/>
      <c r="H25" s="1"/>
      <c r="I25" s="12"/>
      <c r="J25" s="82"/>
      <c r="K25" s="44"/>
      <c r="L25" s="48"/>
      <c r="M25" s="58"/>
      <c r="N25" s="52"/>
      <c r="O25" s="31"/>
      <c r="P25" s="59"/>
      <c r="Q25" s="73"/>
      <c r="R25" s="62"/>
    </row>
    <row r="26" spans="1:18" customFormat="1" ht="26" customHeight="1" x14ac:dyDescent="0.25">
      <c r="A26" s="85"/>
      <c r="B26" s="40"/>
      <c r="C26" s="3"/>
      <c r="D26" s="3"/>
      <c r="E26" s="3"/>
      <c r="F26" s="12"/>
      <c r="G26" s="3"/>
      <c r="H26" s="1"/>
      <c r="I26" s="12"/>
      <c r="J26" s="82"/>
      <c r="K26" s="44"/>
      <c r="L26" s="48"/>
      <c r="M26" s="58"/>
      <c r="N26" s="52"/>
      <c r="O26" s="31"/>
      <c r="P26" s="59"/>
      <c r="Q26" s="73"/>
      <c r="R26" s="62"/>
    </row>
    <row r="27" spans="1:18" customFormat="1" ht="26" customHeight="1" x14ac:dyDescent="0.25">
      <c r="A27" s="85"/>
      <c r="B27" s="40"/>
      <c r="C27" s="3"/>
      <c r="D27" s="3"/>
      <c r="E27" s="3"/>
      <c r="F27" s="12"/>
      <c r="G27" s="3"/>
      <c r="H27" s="1"/>
      <c r="I27" s="12"/>
      <c r="J27" s="82"/>
      <c r="K27" s="44"/>
      <c r="L27" s="48"/>
      <c r="M27" s="58"/>
      <c r="N27" s="52"/>
      <c r="O27" s="31"/>
      <c r="P27" s="59"/>
      <c r="Q27" s="73"/>
      <c r="R27" s="62"/>
    </row>
    <row r="28" spans="1:18" customFormat="1" ht="26" customHeight="1" x14ac:dyDescent="0.25">
      <c r="A28" s="85"/>
      <c r="B28" s="40"/>
      <c r="C28" s="3"/>
      <c r="D28" s="3"/>
      <c r="E28" s="3"/>
      <c r="F28" s="12"/>
      <c r="G28" s="3"/>
      <c r="H28" s="1"/>
      <c r="I28" s="12"/>
      <c r="J28" s="82"/>
      <c r="K28" s="44"/>
      <c r="L28" s="48"/>
      <c r="M28" s="58"/>
      <c r="N28" s="52"/>
      <c r="O28" s="31"/>
      <c r="P28" s="59"/>
      <c r="Q28" s="73"/>
      <c r="R28" s="62"/>
    </row>
    <row r="29" spans="1:18" customFormat="1" ht="26" customHeight="1" x14ac:dyDescent="0.25">
      <c r="A29" s="85"/>
      <c r="B29" s="40"/>
      <c r="C29" s="3"/>
      <c r="D29" s="3"/>
      <c r="E29" s="3"/>
      <c r="F29" s="12"/>
      <c r="G29" s="3"/>
      <c r="H29" s="1"/>
      <c r="I29" s="12"/>
      <c r="J29" s="82"/>
      <c r="K29" s="44"/>
      <c r="L29" s="48"/>
      <c r="M29" s="58"/>
      <c r="N29" s="52"/>
      <c r="O29" s="31"/>
      <c r="P29" s="59"/>
      <c r="Q29" s="73"/>
      <c r="R29" s="62"/>
    </row>
    <row r="30" spans="1:18" customFormat="1" ht="26" customHeight="1" thickBot="1" x14ac:dyDescent="0.3">
      <c r="A30" s="85"/>
      <c r="B30" s="41"/>
      <c r="C30" s="30"/>
      <c r="D30" s="30"/>
      <c r="E30" s="30"/>
      <c r="F30" s="35"/>
      <c r="G30" s="30"/>
      <c r="H30" s="30"/>
      <c r="I30" s="35"/>
      <c r="J30" s="82"/>
      <c r="K30" s="44"/>
      <c r="L30" s="48"/>
      <c r="M30" s="58"/>
      <c r="N30" s="52"/>
      <c r="O30" s="31"/>
      <c r="P30" s="59"/>
      <c r="Q30" s="73"/>
      <c r="R30" s="62"/>
    </row>
    <row r="31" spans="1:18" customFormat="1" ht="26" customHeight="1" x14ac:dyDescent="0.25">
      <c r="A31" s="85"/>
      <c r="J31" s="82"/>
      <c r="K31" s="44"/>
      <c r="L31" s="48"/>
      <c r="M31" s="58"/>
      <c r="N31" s="52"/>
      <c r="O31" s="31"/>
      <c r="P31" s="59"/>
      <c r="Q31" s="73"/>
      <c r="R31" s="62"/>
    </row>
    <row r="32" spans="1:18" customFormat="1" ht="26" customHeight="1" x14ac:dyDescent="0.25">
      <c r="A32" s="85"/>
      <c r="J32" s="82"/>
      <c r="K32" s="44"/>
      <c r="L32" s="48"/>
      <c r="M32" s="58"/>
      <c r="N32" s="52"/>
      <c r="O32" s="31"/>
      <c r="P32" s="59"/>
      <c r="Q32" s="73"/>
      <c r="R32" s="62"/>
    </row>
    <row r="33" spans="1:18" customFormat="1" ht="26" customHeight="1" x14ac:dyDescent="0.25">
      <c r="A33" s="85"/>
      <c r="J33" s="82"/>
      <c r="K33" s="44"/>
      <c r="L33" s="48"/>
      <c r="M33" s="58"/>
      <c r="N33" s="52"/>
      <c r="O33" s="31"/>
      <c r="P33" s="59"/>
      <c r="Q33" s="73"/>
      <c r="R33" s="62"/>
    </row>
    <row r="34" spans="1:18" customFormat="1" ht="26" customHeight="1" x14ac:dyDescent="0.25">
      <c r="A34" s="85"/>
      <c r="J34" s="82"/>
      <c r="K34" s="44"/>
      <c r="L34" s="48"/>
      <c r="M34" s="58"/>
      <c r="N34" s="52"/>
      <c r="O34" s="31"/>
      <c r="P34" s="59"/>
      <c r="Q34" s="73"/>
      <c r="R34" s="62"/>
    </row>
    <row r="35" spans="1:18" customFormat="1" ht="26" customHeight="1" x14ac:dyDescent="0.25">
      <c r="A35" s="85"/>
      <c r="J35" s="82"/>
      <c r="K35" s="44"/>
      <c r="L35" s="48"/>
      <c r="M35" s="58"/>
      <c r="N35" s="52"/>
      <c r="O35" s="31"/>
      <c r="P35" s="59"/>
      <c r="Q35" s="73"/>
      <c r="R35" s="62"/>
    </row>
    <row r="36" spans="1:18" customFormat="1" ht="26" customHeight="1" x14ac:dyDescent="0.25">
      <c r="A36" s="85"/>
      <c r="J36" s="82"/>
      <c r="K36" s="44"/>
      <c r="L36" s="48"/>
      <c r="M36" s="58"/>
      <c r="N36" s="52"/>
      <c r="O36" s="31"/>
      <c r="P36" s="59"/>
      <c r="Q36" s="73"/>
      <c r="R36" s="62"/>
    </row>
    <row r="37" spans="1:18" customFormat="1" ht="26" customHeight="1" x14ac:dyDescent="0.25">
      <c r="A37" s="85"/>
      <c r="J37" s="82"/>
      <c r="K37" s="44"/>
      <c r="L37" s="48"/>
      <c r="M37" s="58"/>
      <c r="N37" s="52"/>
      <c r="O37" s="31"/>
      <c r="P37" s="59"/>
      <c r="Q37" s="73"/>
      <c r="R37" s="62"/>
    </row>
    <row r="38" spans="1:18" customFormat="1" ht="26" customHeight="1" x14ac:dyDescent="0.25">
      <c r="A38" s="85"/>
      <c r="J38" s="82"/>
      <c r="K38" s="44"/>
      <c r="L38" s="48"/>
      <c r="M38" s="58"/>
      <c r="N38" s="52"/>
      <c r="O38" s="31"/>
      <c r="P38" s="59"/>
      <c r="Q38" s="73"/>
      <c r="R38" s="62"/>
    </row>
    <row r="39" spans="1:18" customFormat="1" ht="26" customHeight="1" x14ac:dyDescent="0.25">
      <c r="A39" s="85"/>
      <c r="J39" s="82"/>
      <c r="K39" s="44"/>
      <c r="L39" s="48"/>
      <c r="M39" s="58"/>
      <c r="N39" s="52"/>
      <c r="O39" s="31"/>
      <c r="P39" s="59"/>
      <c r="Q39" s="73"/>
      <c r="R39" s="62"/>
    </row>
    <row r="40" spans="1:18" customFormat="1" ht="26" customHeight="1" x14ac:dyDescent="0.25">
      <c r="A40" s="85"/>
      <c r="J40" s="82"/>
      <c r="K40" s="44"/>
      <c r="L40" s="48"/>
      <c r="M40" s="58"/>
      <c r="N40" s="52"/>
      <c r="O40" s="31"/>
      <c r="P40" s="59"/>
      <c r="Q40" s="73"/>
      <c r="R40" s="62"/>
    </row>
    <row r="41" spans="1:18" customFormat="1" ht="26" customHeight="1" x14ac:dyDescent="0.2">
      <c r="A41" s="85"/>
      <c r="J41" s="83"/>
      <c r="K41" s="66"/>
      <c r="L41" s="66"/>
      <c r="M41" s="63"/>
      <c r="N41" s="52"/>
      <c r="O41" s="31"/>
      <c r="P41" s="59"/>
      <c r="Q41" s="73"/>
      <c r="R41" s="62"/>
    </row>
    <row r="42" spans="1:18" customFormat="1" ht="26" customHeight="1" x14ac:dyDescent="0.2">
      <c r="A42" s="85"/>
      <c r="J42" s="83"/>
      <c r="K42" s="65"/>
      <c r="L42" s="65"/>
      <c r="M42" s="63"/>
      <c r="N42" s="52"/>
      <c r="O42" s="31"/>
      <c r="P42" s="59"/>
      <c r="Q42" s="73"/>
      <c r="R42" s="62"/>
    </row>
    <row r="43" spans="1:18" customFormat="1" ht="26" customHeight="1" thickBot="1" x14ac:dyDescent="0.25">
      <c r="A43" s="85"/>
      <c r="J43" s="83"/>
      <c r="K43" s="65"/>
      <c r="L43" s="65"/>
      <c r="M43" s="63"/>
      <c r="N43" s="53"/>
      <c r="O43" s="37"/>
      <c r="P43" s="59"/>
      <c r="Q43" s="73"/>
    </row>
    <row r="44" spans="1:18" customFormat="1" ht="26" customHeight="1" x14ac:dyDescent="0.2">
      <c r="A44" s="85"/>
      <c r="J44" s="83"/>
      <c r="K44" s="65"/>
      <c r="L44" s="65"/>
      <c r="M44" s="64"/>
      <c r="N44" s="67"/>
      <c r="O44" s="59"/>
      <c r="P44" s="59"/>
      <c r="Q44" s="73"/>
    </row>
    <row r="45" spans="1:18" customFormat="1" ht="26" customHeight="1" thickBot="1" x14ac:dyDescent="0.25">
      <c r="A45" s="85"/>
      <c r="J45" s="83"/>
      <c r="K45" s="65"/>
      <c r="L45" s="65"/>
      <c r="M45" s="64"/>
      <c r="N45" s="65"/>
      <c r="O45" s="59"/>
      <c r="P45" s="59"/>
      <c r="Q45" s="73"/>
    </row>
    <row r="46" spans="1:18" customFormat="1" ht="26" customHeight="1" thickBot="1" x14ac:dyDescent="0.25">
      <c r="A46" s="86"/>
      <c r="B46" s="87"/>
      <c r="C46" s="87"/>
      <c r="D46" s="87"/>
      <c r="E46" s="87"/>
      <c r="F46" s="87"/>
      <c r="G46" s="87"/>
      <c r="H46" s="87"/>
      <c r="I46" s="87"/>
      <c r="J46" s="84"/>
      <c r="K46" s="68"/>
      <c r="L46" s="68"/>
      <c r="M46" s="69"/>
      <c r="N46" s="68"/>
      <c r="O46" s="68"/>
      <c r="P46" s="68"/>
      <c r="Q46" s="73"/>
    </row>
    <row r="47" spans="1:18" s="70" customFormat="1" ht="26" customHeight="1" x14ac:dyDescent="0.2"/>
  </sheetData>
  <sortState xmlns:xlrd2="http://schemas.microsoft.com/office/spreadsheetml/2017/richdata2" ref="N14:O43">
    <sortCondition descending="1" ref="O14:O43"/>
  </sortState>
  <mergeCells count="13">
    <mergeCell ref="A1:XFD2"/>
    <mergeCell ref="J3:J46"/>
    <mergeCell ref="A3:A46"/>
    <mergeCell ref="B46:I46"/>
    <mergeCell ref="K3:L3"/>
    <mergeCell ref="K4:L5"/>
    <mergeCell ref="K6:L6"/>
    <mergeCell ref="K12:L12"/>
    <mergeCell ref="N3:O3"/>
    <mergeCell ref="K7:L7"/>
    <mergeCell ref="K13:L13"/>
    <mergeCell ref="N13:O13"/>
    <mergeCell ref="N10:O12"/>
  </mergeCells>
  <conditionalFormatting sqref="I4:I30 L11">
    <cfRule type="dataBar" priority="9">
      <dataBar>
        <cfvo type="min"/>
        <cfvo type="max"/>
        <color theme="9" tint="0.39997558519241921"/>
      </dataBar>
      <extLst>
        <ext xmlns:x14="http://schemas.microsoft.com/office/spreadsheetml/2009/9/main" uri="{B025F937-C7B1-47D3-B67F-A62EFF666E3E}">
          <x14:id>{CBF276CE-412F-574B-B4E6-EBC8D998C5A9}</x14:id>
        </ext>
      </extLst>
    </cfRule>
  </conditionalFormatting>
  <conditionalFormatting sqref="H4">
    <cfRule type="cellIs" dxfId="3" priority="7" operator="lessThan">
      <formula>0</formula>
    </cfRule>
    <cfRule type="cellIs" dxfId="2" priority="8" operator="greaterThan">
      <formula>0</formula>
    </cfRule>
  </conditionalFormatting>
  <conditionalFormatting sqref="H5:H29 L10">
    <cfRule type="cellIs" dxfId="1" priority="5" operator="lessThan">
      <formula>0</formula>
    </cfRule>
    <cfRule type="cellIs" dxfId="0" priority="6" operator="greaterThan">
      <formula>0</formula>
    </cfRule>
  </conditionalFormatting>
  <conditionalFormatting sqref="O14:O43">
    <cfRule type="dataBar" priority="1">
      <dataBar>
        <cfvo type="min"/>
        <cfvo type="max"/>
        <color theme="9" tint="0.59999389629810485"/>
      </dataBar>
      <extLst>
        <ext xmlns:x14="http://schemas.microsoft.com/office/spreadsheetml/2009/9/main" uri="{B025F937-C7B1-47D3-B67F-A62EFF666E3E}">
          <x14:id>{35732CAF-987E-2741-8E4E-73E6FF86A760}</x14:id>
        </ext>
      </extLst>
    </cfRule>
  </conditionalFormatting>
  <dataValidations count="2">
    <dataValidation type="list" allowBlank="1" showInputMessage="1" showErrorMessage="1" sqref="O4" xr:uid="{2A20C642-0D33-6F40-9D00-26D47191CCC0}">
      <formula1>$B$4:$B$10</formula1>
    </dataValidation>
    <dataValidation type="list" allowBlank="1" showInputMessage="1" showErrorMessage="1" sqref="O8" xr:uid="{DB871209-32F9-0745-81D8-0C1B55F66680}">
      <formula1>$B$4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15" r:id="rId3" name="Button 47">
              <controlPr defaultSize="0" print="0" autoFill="0" autoPict="0" macro="[0]!Buy">
                <anchor moveWithCells="1" sizeWithCells="1">
                  <from>
                    <xdr:col>13</xdr:col>
                    <xdr:colOff>12700</xdr:colOff>
                    <xdr:row>7</xdr:row>
                    <xdr:rowOff>12700</xdr:rowOff>
                  </from>
                  <to>
                    <xdr:col>14</xdr:col>
                    <xdr:colOff>0</xdr:colOff>
                    <xdr:row>9</xdr:row>
                    <xdr:rowOff>0</xdr:rowOff>
                  </to>
                </anchor>
              </controlPr>
            </control>
          </mc:Choice>
        </mc:AlternateContent>
        <mc:AlternateContent xmlns:mc="http://schemas.openxmlformats.org/markup-compatibility/2006">
          <mc:Choice Requires="x14">
            <control shapeId="7232" r:id="rId4" name="Button 64">
              <controlPr defaultSize="0" print="0" autoFill="0" autoPict="0" macro="[0]!Update" altText="Update Portfolio">
                <anchor moveWithCells="1" sizeWithCells="1">
                  <from>
                    <xdr:col>7</xdr:col>
                    <xdr:colOff>571500</xdr:colOff>
                    <xdr:row>30</xdr:row>
                    <xdr:rowOff>0</xdr:rowOff>
                  </from>
                  <to>
                    <xdr:col>9</xdr:col>
                    <xdr:colOff>0</xdr:colOff>
                    <xdr:row>32</xdr:row>
                    <xdr:rowOff>0</xdr:rowOff>
                  </to>
                </anchor>
              </controlPr>
            </control>
          </mc:Choice>
        </mc:AlternateContent>
        <mc:AlternateContent xmlns:mc="http://schemas.openxmlformats.org/markup-compatibility/2006">
          <mc:Choice Requires="x14">
            <control shapeId="7235" r:id="rId5" name="Button 67">
              <controlPr defaultSize="0" print="0" autoFill="0" autoPict="0" macro="[0]!Sell">
                <anchor moveWithCells="1" sizeWithCells="1">
                  <from>
                    <xdr:col>14</xdr:col>
                    <xdr:colOff>0</xdr:colOff>
                    <xdr:row>7</xdr:row>
                    <xdr:rowOff>12700</xdr:rowOff>
                  </from>
                  <to>
                    <xdr:col>15</xdr:col>
                    <xdr:colOff>0</xdr:colOff>
                    <xdr:row>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BF276CE-412F-574B-B4E6-EBC8D998C5A9}">
            <x14:dataBar minLength="0" maxLength="100">
              <x14:cfvo type="autoMin"/>
              <x14:cfvo type="autoMax"/>
              <x14:negativeFillColor rgb="FFEA897E"/>
              <x14:axisColor auto="1"/>
            </x14:dataBar>
          </x14:cfRule>
          <xm:sqref>I4:I30 L11</xm:sqref>
        </x14:conditionalFormatting>
        <x14:conditionalFormatting xmlns:xm="http://schemas.microsoft.com/office/excel/2006/main">
          <x14:cfRule type="dataBar" id="{35732CAF-987E-2741-8E4E-73E6FF86A760}">
            <x14:dataBar minLength="0" maxLength="100">
              <x14:cfvo type="autoMin"/>
              <x14:cfvo type="autoMax"/>
              <x14:negativeFillColor rgb="FFEA897E"/>
              <x14:axisColor rgb="FF000000"/>
            </x14:dataBar>
          </x14:cfRule>
          <xm:sqref>O14:O43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52C2D-B1FA-1243-801B-87882C3AB29E}">
  <sheetPr codeName="Sheet2"/>
  <dimension ref="A2:U304"/>
  <sheetViews>
    <sheetView zoomScale="81" workbookViewId="0">
      <selection activeCell="J4" sqref="J4"/>
    </sheetView>
  </sheetViews>
  <sheetFormatPr baseColWidth="10" defaultColWidth="12.6640625" defaultRowHeight="22" customHeight="1" x14ac:dyDescent="0.2"/>
  <cols>
    <col min="1" max="1" width="18.33203125" customWidth="1"/>
    <col min="2" max="2" width="12.6640625" style="8"/>
    <col min="3" max="3" width="26.6640625" bestFit="1" customWidth="1"/>
    <col min="8" max="8" width="14.6640625" bestFit="1" customWidth="1"/>
    <col min="9" max="9" width="15.6640625" bestFit="1" customWidth="1"/>
    <col min="10" max="10" width="14.6640625" bestFit="1" customWidth="1"/>
    <col min="13" max="13" width="19.6640625" bestFit="1" customWidth="1"/>
    <col min="18" max="18" width="14.6640625" bestFit="1" customWidth="1"/>
    <col min="19" max="19" width="15.6640625" bestFit="1" customWidth="1"/>
    <col min="20" max="20" width="14.6640625" bestFit="1" customWidth="1"/>
    <col min="21" max="21" width="17.6640625" bestFit="1" customWidth="1"/>
  </cols>
  <sheetData>
    <row r="2" spans="1:21" ht="22" customHeight="1" x14ac:dyDescent="0.2">
      <c r="L2" s="10"/>
    </row>
    <row r="3" spans="1:21" ht="22" customHeight="1" x14ac:dyDescent="0.2">
      <c r="B3" s="9">
        <v>1</v>
      </c>
      <c r="C3" s="9">
        <v>2</v>
      </c>
      <c r="D3" s="9">
        <v>3</v>
      </c>
      <c r="E3" s="9">
        <v>4</v>
      </c>
      <c r="F3" s="9">
        <v>5</v>
      </c>
      <c r="G3" s="9">
        <v>6</v>
      </c>
      <c r="H3" s="9">
        <v>7</v>
      </c>
      <c r="I3" s="9">
        <v>8</v>
      </c>
      <c r="J3" s="9">
        <v>9</v>
      </c>
      <c r="K3" s="9">
        <v>10</v>
      </c>
      <c r="M3" s="9"/>
      <c r="N3" s="9"/>
      <c r="O3" s="9"/>
      <c r="P3" s="9"/>
      <c r="Q3" s="9"/>
      <c r="R3" s="9"/>
      <c r="S3" s="9"/>
      <c r="T3" s="9"/>
    </row>
    <row r="4" spans="1:21" ht="22" customHeight="1" x14ac:dyDescent="0.2">
      <c r="B4" s="9" t="s">
        <v>390</v>
      </c>
      <c r="C4" s="9" t="s">
        <v>0</v>
      </c>
      <c r="D4" s="9" t="s">
        <v>8</v>
      </c>
      <c r="E4" s="9" t="s">
        <v>391</v>
      </c>
      <c r="F4" s="9" t="s">
        <v>392</v>
      </c>
      <c r="G4" s="9" t="s">
        <v>393</v>
      </c>
      <c r="H4" s="9" t="s">
        <v>394</v>
      </c>
      <c r="I4" s="9" t="s">
        <v>395</v>
      </c>
      <c r="J4" s="9" t="s">
        <v>955</v>
      </c>
      <c r="M4" s="9"/>
      <c r="N4" s="9"/>
      <c r="O4" s="9"/>
      <c r="P4" s="9"/>
      <c r="Q4" s="9"/>
      <c r="R4" s="9"/>
      <c r="S4" s="9"/>
      <c r="T4" s="9"/>
      <c r="U4" s="9"/>
    </row>
    <row r="5" spans="1:21" ht="22" customHeight="1" x14ac:dyDescent="0.2">
      <c r="A5" s="29" t="str">
        <f>UPPER(MID(LEFT(C5,FIND(")",C5)-1),FIND("(",C5)+1,LEN(C5)))</f>
        <v>BTC</v>
      </c>
      <c r="B5" s="8">
        <v>1</v>
      </c>
      <c r="C5" t="str">
        <f>PROPER(VLOOKUP($B5, Sheet2!$B:$I,C$3,0))</f>
        <v>Bitcoin (Btc)</v>
      </c>
      <c r="D5" t="str">
        <f>PROPER(VLOOKUP($B5, Sheet2!$B:$I,D$3,0))</f>
        <v>$41,257</v>
      </c>
      <c r="E5" t="str">
        <f>PROPER(VLOOKUP($B5, Sheet2!$B:$I,E$3,0))</f>
        <v>0</v>
      </c>
      <c r="F5" t="str">
        <f>PROPER(VLOOKUP($B5, Sheet2!$B:$I,F$3,0))</f>
        <v>-0.017</v>
      </c>
      <c r="G5" t="str">
        <f>PROPER(VLOOKUP($B5, Sheet2!$B:$I,G$3,0))</f>
        <v>0.022</v>
      </c>
      <c r="H5" t="str">
        <f>PROPER(VLOOKUP($B5, Sheet2!$B:$I,H$3,0))</f>
        <v>$29,615,425,222</v>
      </c>
      <c r="I5" t="str">
        <f>PROPER(VLOOKUP($B5, Sheet2!$B:$I,I$3,0))</f>
        <v>$776,942,118,308</v>
      </c>
      <c r="J5" t="str">
        <f>SUBSTITUTE(D5, "$", "")</f>
        <v>41,257</v>
      </c>
      <c r="K5">
        <f t="shared" ref="K5:K68" si="0">F5*100</f>
        <v>-1.7000000000000002</v>
      </c>
      <c r="U5" s="11"/>
    </row>
    <row r="6" spans="1:21" ht="22" customHeight="1" x14ac:dyDescent="0.2">
      <c r="A6" s="29" t="str">
        <f t="shared" ref="A6:A69" si="1">UPPER(MID(LEFT(C6,FIND(")",C6)-1),FIND("(",C6)+1,LEN(C6)))</f>
        <v>ETH</v>
      </c>
      <c r="B6" s="8">
        <v>2</v>
      </c>
      <c r="C6" t="str">
        <f>PROPER(VLOOKUP($B6, Sheet2!$B:$I,C$3,0))</f>
        <v>Ethereum (Eth)</v>
      </c>
      <c r="D6" t="str">
        <f>PROPER(VLOOKUP($B6, Sheet2!$B:$I,D$3,0))</f>
        <v>$2,824.97</v>
      </c>
      <c r="E6" t="str">
        <f>PROPER(VLOOKUP($B6, Sheet2!$B:$I,E$3,0))</f>
        <v>0.003</v>
      </c>
      <c r="F6" t="str">
        <f>PROPER(VLOOKUP($B6, Sheet2!$B:$I,F$3,0))</f>
        <v>-0.018</v>
      </c>
      <c r="G6" t="str">
        <f>PROPER(VLOOKUP($B6, Sheet2!$B:$I,G$3,0))</f>
        <v>0.029</v>
      </c>
      <c r="H6" t="str">
        <f>PROPER(VLOOKUP($B6, Sheet2!$B:$I,H$3,0))</f>
        <v>$17,493,096,318</v>
      </c>
      <c r="I6" t="str">
        <f>PROPER(VLOOKUP($B6, Sheet2!$B:$I,I$3,0))</f>
        <v>$332,575,660,060</v>
      </c>
      <c r="J6" t="str">
        <f t="shared" ref="J6:J69" si="2">SUBSTITUTE(D6, "$", "")</f>
        <v>2,824.97</v>
      </c>
      <c r="K6">
        <f t="shared" si="0"/>
        <v>-1.7999999999999998</v>
      </c>
      <c r="U6" s="11"/>
    </row>
    <row r="7" spans="1:21" ht="22" customHeight="1" x14ac:dyDescent="0.2">
      <c r="A7" s="29" t="str">
        <f t="shared" si="1"/>
        <v>USDT</v>
      </c>
      <c r="B7" s="8">
        <v>3</v>
      </c>
      <c r="C7" t="str">
        <f>PROPER(VLOOKUP($B7, Sheet2!$B:$I,C$3,0))</f>
        <v>Tether (Usdt)</v>
      </c>
      <c r="D7" t="str">
        <f>PROPER(VLOOKUP($B7, Sheet2!$B:$I,D$3,0))</f>
        <v>$1.00</v>
      </c>
      <c r="E7" t="str">
        <f>PROPER(VLOOKUP($B7, Sheet2!$B:$I,E$3,0))</f>
        <v>0.002</v>
      </c>
      <c r="F7" t="str">
        <f>PROPER(VLOOKUP($B7, Sheet2!$B:$I,F$3,0))</f>
        <v>0.001</v>
      </c>
      <c r="G7" t="str">
        <f>PROPER(VLOOKUP($B7, Sheet2!$B:$I,G$3,0))</f>
        <v>0.012</v>
      </c>
      <c r="H7" t="str">
        <f>PROPER(VLOOKUP($B7, Sheet2!$B:$I,H$3,0))</f>
        <v>$57,269,384,551</v>
      </c>
      <c r="I7" t="str">
        <f>PROPER(VLOOKUP($B7, Sheet2!$B:$I,I$3,0))</f>
        <v>$69,594,675,817</v>
      </c>
      <c r="J7" t="str">
        <f t="shared" si="2"/>
        <v>1.00</v>
      </c>
      <c r="K7">
        <f t="shared" si="0"/>
        <v>0.1</v>
      </c>
      <c r="U7" s="11"/>
    </row>
    <row r="8" spans="1:21" ht="22" customHeight="1" x14ac:dyDescent="0.2">
      <c r="A8" s="29" t="str">
        <f t="shared" si="1"/>
        <v>ADA</v>
      </c>
      <c r="B8" s="8">
        <v>4</v>
      </c>
      <c r="C8" t="str">
        <f>PROPER(VLOOKUP($B8, Sheet2!$B:$I,C$3,0))</f>
        <v>Cardano (Ada)</v>
      </c>
      <c r="D8" t="str">
        <f>PROPER(VLOOKUP($B8, Sheet2!$B:$I,D$3,0))</f>
        <v>$2.05</v>
      </c>
      <c r="E8" t="str">
        <f>PROPER(VLOOKUP($B8, Sheet2!$B:$I,E$3,0))</f>
        <v>0.005</v>
      </c>
      <c r="F8" t="str">
        <f>PROPER(VLOOKUP($B8, Sheet2!$B:$I,F$3,0))</f>
        <v>-0.016</v>
      </c>
      <c r="G8" t="str">
        <f>PROPER(VLOOKUP($B8, Sheet2!$B:$I,G$3,0))</f>
        <v>0.039</v>
      </c>
      <c r="H8" t="str">
        <f>PROPER(VLOOKUP($B8, Sheet2!$B:$I,H$3,0))</f>
        <v>$2,401,375,781</v>
      </c>
      <c r="I8" t="str">
        <f>PROPER(VLOOKUP($B8, Sheet2!$B:$I,I$3,0))</f>
        <v>$65,149,012,767</v>
      </c>
      <c r="J8" t="str">
        <f t="shared" si="2"/>
        <v>2.05</v>
      </c>
      <c r="K8">
        <f t="shared" si="0"/>
        <v>-1.6</v>
      </c>
      <c r="U8" s="11"/>
    </row>
    <row r="9" spans="1:21" ht="22" customHeight="1" x14ac:dyDescent="0.2">
      <c r="A9" s="29" t="str">
        <f t="shared" si="1"/>
        <v>BNB</v>
      </c>
      <c r="B9" s="8">
        <v>5</v>
      </c>
      <c r="C9" t="str">
        <f>PROPER(VLOOKUP($B9, Sheet2!$B:$I,C$3,0))</f>
        <v>Binance Coin (Bnb)</v>
      </c>
      <c r="D9" t="str">
        <f>PROPER(VLOOKUP($B9, Sheet2!$B:$I,D$3,0))</f>
        <v>$363.82</v>
      </c>
      <c r="E9" t="str">
        <f>PROPER(VLOOKUP($B9, Sheet2!$B:$I,E$3,0))</f>
        <v>-0.003</v>
      </c>
      <c r="F9" t="str">
        <f>PROPER(VLOOKUP($B9, Sheet2!$B:$I,F$3,0))</f>
        <v>0.075</v>
      </c>
      <c r="G9" t="str">
        <f>PROPER(VLOOKUP($B9, Sheet2!$B:$I,G$3,0))</f>
        <v>0.058</v>
      </c>
      <c r="H9" t="str">
        <f>PROPER(VLOOKUP($B9, Sheet2!$B:$I,H$3,0))</f>
        <v>$2,152,601,254</v>
      </c>
      <c r="I9" t="str">
        <f>PROPER(VLOOKUP($B9, Sheet2!$B:$I,I$3,0))</f>
        <v>$56,207,605,820</v>
      </c>
      <c r="J9" t="str">
        <f t="shared" si="2"/>
        <v>363.82</v>
      </c>
      <c r="K9">
        <f t="shared" si="0"/>
        <v>7.5</v>
      </c>
      <c r="U9" s="11"/>
    </row>
    <row r="10" spans="1:21" ht="22" customHeight="1" x14ac:dyDescent="0.2">
      <c r="A10" s="29" t="str">
        <f t="shared" si="1"/>
        <v>XRP</v>
      </c>
      <c r="B10" s="8">
        <v>6</v>
      </c>
      <c r="C10" t="str">
        <f>PROPER(VLOOKUP($B10, Sheet2!$B:$I,C$3,0))</f>
        <v>Xrp (Xrp)</v>
      </c>
      <c r="D10" t="str">
        <f>PROPER(VLOOKUP($B10, Sheet2!$B:$I,D$3,0))</f>
        <v>$0.917213</v>
      </c>
      <c r="E10" t="str">
        <f>PROPER(VLOOKUP($B10, Sheet2!$B:$I,E$3,0))</f>
        <v>-0.001</v>
      </c>
      <c r="F10" t="str">
        <f>PROPER(VLOOKUP($B10, Sheet2!$B:$I,F$3,0))</f>
        <v>0.003</v>
      </c>
      <c r="G10" t="str">
        <f>PROPER(VLOOKUP($B10, Sheet2!$B:$I,G$3,0))</f>
        <v>0.058</v>
      </c>
      <c r="H10" t="str">
        <f>PROPER(VLOOKUP($B10, Sheet2!$B:$I,H$3,0))</f>
        <v>$4,050,251,707</v>
      </c>
      <c r="I10" t="str">
        <f>PROPER(VLOOKUP($B10, Sheet2!$B:$I,I$3,0))</f>
        <v>$42,880,097,834</v>
      </c>
      <c r="J10" t="str">
        <f t="shared" si="2"/>
        <v>0.917213</v>
      </c>
      <c r="K10">
        <f t="shared" si="0"/>
        <v>0.3</v>
      </c>
      <c r="U10" s="11"/>
    </row>
    <row r="11" spans="1:21" ht="22" customHeight="1" x14ac:dyDescent="0.2">
      <c r="A11" s="29" t="str">
        <f t="shared" si="1"/>
        <v>SOL</v>
      </c>
      <c r="B11" s="8">
        <v>7</v>
      </c>
      <c r="C11" t="str">
        <f>PROPER(VLOOKUP($B11, Sheet2!$B:$I,C$3,0))</f>
        <v>Solana (Sol)</v>
      </c>
      <c r="D11" t="str">
        <f>PROPER(VLOOKUP($B11, Sheet2!$B:$I,D$3,0))</f>
        <v>$133.04</v>
      </c>
      <c r="E11" t="str">
        <f>PROPER(VLOOKUP($B11, Sheet2!$B:$I,E$3,0))</f>
        <v>0.007</v>
      </c>
      <c r="F11" t="str">
        <f>PROPER(VLOOKUP($B11, Sheet2!$B:$I,F$3,0))</f>
        <v>0.003</v>
      </c>
      <c r="G11" t="str">
        <f>PROPER(VLOOKUP($B11, Sheet2!$B:$I,G$3,0))</f>
        <v>0.084</v>
      </c>
      <c r="H11" t="str">
        <f>PROPER(VLOOKUP($B11, Sheet2!$B:$I,H$3,0))</f>
        <v>$2,411,715,854</v>
      </c>
      <c r="I11" t="str">
        <f>PROPER(VLOOKUP($B11, Sheet2!$B:$I,I$3,0))</f>
        <v>$39,585,276,012</v>
      </c>
      <c r="J11" t="str">
        <f t="shared" si="2"/>
        <v>133.04</v>
      </c>
      <c r="K11">
        <f t="shared" si="0"/>
        <v>0.3</v>
      </c>
      <c r="U11" s="11"/>
    </row>
    <row r="12" spans="1:21" ht="22" customHeight="1" x14ac:dyDescent="0.2">
      <c r="A12" s="29" t="str">
        <f t="shared" si="1"/>
        <v>USDC</v>
      </c>
      <c r="B12" s="8">
        <v>8</v>
      </c>
      <c r="C12" t="str">
        <f>PROPER(VLOOKUP($B12, Sheet2!$B:$I,C$3,0))</f>
        <v>Usd Coin (Usdc)</v>
      </c>
      <c r="D12" t="str">
        <f>PROPER(VLOOKUP($B12, Sheet2!$B:$I,D$3,0))</f>
        <v>$1.01</v>
      </c>
      <c r="E12" t="str">
        <f>PROPER(VLOOKUP($B12, Sheet2!$B:$I,E$3,0))</f>
        <v>0.004</v>
      </c>
      <c r="F12" t="str">
        <f>PROPER(VLOOKUP($B12, Sheet2!$B:$I,F$3,0))</f>
        <v>0.003</v>
      </c>
      <c r="G12" t="str">
        <f>PROPER(VLOOKUP($B12, Sheet2!$B:$I,G$3,0))</f>
        <v>0.01</v>
      </c>
      <c r="H12" t="str">
        <f>PROPER(VLOOKUP($B12, Sheet2!$B:$I,H$3,0))</f>
        <v>$3,328,498,755</v>
      </c>
      <c r="I12" t="str">
        <f>PROPER(VLOOKUP($B12, Sheet2!$B:$I,I$3,0))</f>
        <v>$31,356,365,224</v>
      </c>
      <c r="J12" t="str">
        <f t="shared" si="2"/>
        <v>1.01</v>
      </c>
      <c r="K12">
        <f t="shared" si="0"/>
        <v>0.3</v>
      </c>
      <c r="U12" s="11"/>
    </row>
    <row r="13" spans="1:21" ht="22" customHeight="1" x14ac:dyDescent="0.2">
      <c r="A13" s="29" t="str">
        <f t="shared" si="1"/>
        <v>DOT</v>
      </c>
      <c r="B13" s="8">
        <v>9</v>
      </c>
      <c r="C13" t="str">
        <f>PROPER(VLOOKUP($B13, Sheet2!$B:$I,C$3,0))</f>
        <v>Polkadot (Dot)</v>
      </c>
      <c r="D13" t="str">
        <f>PROPER(VLOOKUP($B13, Sheet2!$B:$I,D$3,0))</f>
        <v>$26.67</v>
      </c>
      <c r="E13" t="str">
        <f>PROPER(VLOOKUP($B13, Sheet2!$B:$I,E$3,0))</f>
        <v>-0.005</v>
      </c>
      <c r="F13" t="str">
        <f>PROPER(VLOOKUP($B13, Sheet2!$B:$I,F$3,0))</f>
        <v>-0.009</v>
      </c>
      <c r="G13" t="str">
        <f>PROPER(VLOOKUP($B13, Sheet2!$B:$I,G$3,0))</f>
        <v>0.028</v>
      </c>
      <c r="H13" t="str">
        <f>PROPER(VLOOKUP($B13, Sheet2!$B:$I,H$3,0))</f>
        <v>$1,132,334,338</v>
      </c>
      <c r="I13" t="str">
        <f>PROPER(VLOOKUP($B13, Sheet2!$B:$I,I$3,0))</f>
        <v>$27,613,203,398</v>
      </c>
      <c r="J13" t="str">
        <f t="shared" si="2"/>
        <v>26.67</v>
      </c>
      <c r="K13">
        <f t="shared" si="0"/>
        <v>-0.89999999999999991</v>
      </c>
      <c r="U13" s="11"/>
    </row>
    <row r="14" spans="1:21" ht="22" customHeight="1" x14ac:dyDescent="0.2">
      <c r="A14" s="29" t="str">
        <f t="shared" si="1"/>
        <v>DOGE</v>
      </c>
      <c r="B14" s="8">
        <v>10</v>
      </c>
      <c r="C14" t="str">
        <f>PROPER(VLOOKUP($B14, Sheet2!$B:$I,C$3,0))</f>
        <v>Dogecoin (Doge)</v>
      </c>
      <c r="D14" t="str">
        <f>PROPER(VLOOKUP($B14, Sheet2!$B:$I,D$3,0))</f>
        <v>$0.197284</v>
      </c>
      <c r="E14" t="str">
        <f>PROPER(VLOOKUP($B14, Sheet2!$B:$I,E$3,0))</f>
        <v>-0.002</v>
      </c>
      <c r="F14" t="str">
        <f>PROPER(VLOOKUP($B14, Sheet2!$B:$I,F$3,0))</f>
        <v>-0.018</v>
      </c>
      <c r="G14" t="str">
        <f>PROPER(VLOOKUP($B14, Sheet2!$B:$I,G$3,0))</f>
        <v>-0.012</v>
      </c>
      <c r="H14" t="str">
        <f>PROPER(VLOOKUP($B14, Sheet2!$B:$I,H$3,0))</f>
        <v>$789,651,090</v>
      </c>
      <c r="I14" t="str">
        <f>PROPER(VLOOKUP($B14, Sheet2!$B:$I,I$3,0))</f>
        <v>$25,919,175,880</v>
      </c>
      <c r="J14" t="str">
        <f t="shared" si="2"/>
        <v>0.197284</v>
      </c>
      <c r="K14">
        <f t="shared" si="0"/>
        <v>-1.7999999999999998</v>
      </c>
      <c r="U14" s="11"/>
    </row>
    <row r="15" spans="1:21" ht="22" customHeight="1" x14ac:dyDescent="0.2">
      <c r="A15" s="29" t="str">
        <f t="shared" si="1"/>
        <v>AVAX</v>
      </c>
      <c r="B15" s="8">
        <v>11</v>
      </c>
      <c r="C15" t="str">
        <f>PROPER(VLOOKUP($B15, Sheet2!$B:$I,C$3,0))</f>
        <v>Avalanche (Avax)</v>
      </c>
      <c r="D15" t="str">
        <f>PROPER(VLOOKUP($B15, Sheet2!$B:$I,D$3,0))</f>
        <v>$63.55</v>
      </c>
      <c r="E15" t="str">
        <f>PROPER(VLOOKUP($B15, Sheet2!$B:$I,E$3,0))</f>
        <v>0.004</v>
      </c>
      <c r="F15" t="str">
        <f>PROPER(VLOOKUP($B15, Sheet2!$B:$I,F$3,0))</f>
        <v>-0.006</v>
      </c>
      <c r="G15" t="str">
        <f>PROPER(VLOOKUP($B15, Sheet2!$B:$I,G$3,0))</f>
        <v>0.098</v>
      </c>
      <c r="H15" t="str">
        <f>PROPER(VLOOKUP($B15, Sheet2!$B:$I,H$3,0))</f>
        <v>$1,252,619,446</v>
      </c>
      <c r="I15" t="str">
        <f>PROPER(VLOOKUP($B15, Sheet2!$B:$I,I$3,0))</f>
        <v>$13,999,212,523</v>
      </c>
      <c r="J15" t="str">
        <f t="shared" si="2"/>
        <v>63.55</v>
      </c>
      <c r="K15">
        <f t="shared" si="0"/>
        <v>-0.6</v>
      </c>
      <c r="U15" s="11"/>
    </row>
    <row r="16" spans="1:21" ht="22" customHeight="1" x14ac:dyDescent="0.2">
      <c r="A16" s="29" t="str">
        <f t="shared" si="1"/>
        <v>BUSD</v>
      </c>
      <c r="B16" s="8">
        <v>12</v>
      </c>
      <c r="C16" t="str">
        <f>PROPER(VLOOKUP($B16, Sheet2!$B:$I,C$3,0))</f>
        <v>Binance Usd (Busd)</v>
      </c>
      <c r="D16" t="str">
        <f>PROPER(VLOOKUP($B16, Sheet2!$B:$I,D$3,0))</f>
        <v>$1.00</v>
      </c>
      <c r="E16" t="str">
        <f>PROPER(VLOOKUP($B16, Sheet2!$B:$I,E$3,0))</f>
        <v>0.001</v>
      </c>
      <c r="F16" t="str">
        <f>PROPER(VLOOKUP($B16, Sheet2!$B:$I,F$3,0))</f>
        <v>0</v>
      </c>
      <c r="G16" t="str">
        <f>PROPER(VLOOKUP($B16, Sheet2!$B:$I,G$3,0))</f>
        <v>0.003</v>
      </c>
      <c r="H16" t="str">
        <f>PROPER(VLOOKUP($B16, Sheet2!$B:$I,H$3,0))</f>
        <v>$3,847,296,512</v>
      </c>
      <c r="I16" t="str">
        <f>PROPER(VLOOKUP($B16, Sheet2!$B:$I,I$3,0))</f>
        <v>$13,488,316,525</v>
      </c>
      <c r="J16" t="str">
        <f t="shared" si="2"/>
        <v>1.00</v>
      </c>
      <c r="K16">
        <f t="shared" si="0"/>
        <v>0</v>
      </c>
      <c r="U16" s="11"/>
    </row>
    <row r="17" spans="1:21" ht="22" customHeight="1" x14ac:dyDescent="0.2">
      <c r="A17" s="29" t="str">
        <f t="shared" si="1"/>
        <v>LUNA</v>
      </c>
      <c r="B17" s="8">
        <v>13</v>
      </c>
      <c r="C17" t="str">
        <f>PROPER(VLOOKUP($B17, Sheet2!$B:$I,C$3,0))</f>
        <v>Terra (Luna)</v>
      </c>
      <c r="D17" t="str">
        <f>PROPER(VLOOKUP($B17, Sheet2!$B:$I,D$3,0))</f>
        <v>$33.52</v>
      </c>
      <c r="E17" t="str">
        <f>PROPER(VLOOKUP($B17, Sheet2!$B:$I,E$3,0))</f>
        <v>-0.002</v>
      </c>
      <c r="F17" t="str">
        <f>PROPER(VLOOKUP($B17, Sheet2!$B:$I,F$3,0))</f>
        <v>-0.026</v>
      </c>
      <c r="G17" t="str">
        <f>PROPER(VLOOKUP($B17, Sheet2!$B:$I,G$3,0))</f>
        <v>0.344</v>
      </c>
      <c r="H17" t="str">
        <f>PROPER(VLOOKUP($B17, Sheet2!$B:$I,H$3,0))</f>
        <v>$1,057,930,468</v>
      </c>
      <c r="I17" t="str">
        <f>PROPER(VLOOKUP($B17, Sheet2!$B:$I,I$3,0))</f>
        <v>$13,390,114,596</v>
      </c>
      <c r="J17" t="str">
        <f t="shared" si="2"/>
        <v>33.52</v>
      </c>
      <c r="K17">
        <f t="shared" si="0"/>
        <v>-2.6</v>
      </c>
      <c r="U17" s="11"/>
    </row>
    <row r="18" spans="1:21" ht="22" customHeight="1" x14ac:dyDescent="0.2">
      <c r="A18" s="29" t="str">
        <f t="shared" si="1"/>
        <v>UNI</v>
      </c>
      <c r="B18" s="8">
        <v>14</v>
      </c>
      <c r="C18" t="str">
        <f>PROPER(VLOOKUP($B18, Sheet2!$B:$I,C$3,0))</f>
        <v>Uniswap (Uni)</v>
      </c>
      <c r="D18" t="str">
        <f>PROPER(VLOOKUP($B18, Sheet2!$B:$I,D$3,0))</f>
        <v>$22.68</v>
      </c>
      <c r="E18" t="str">
        <f>PROPER(VLOOKUP($B18, Sheet2!$B:$I,E$3,0))</f>
        <v>-0.016</v>
      </c>
      <c r="F18" t="str">
        <f>PROPER(VLOOKUP($B18, Sheet2!$B:$I,F$3,0))</f>
        <v>-0.059</v>
      </c>
      <c r="G18" t="str">
        <f>PROPER(VLOOKUP($B18, Sheet2!$B:$I,G$3,0))</f>
        <v>0.2</v>
      </c>
      <c r="H18" t="str">
        <f>PROPER(VLOOKUP($B18, Sheet2!$B:$I,H$3,0))</f>
        <v>$827,484,462</v>
      </c>
      <c r="I18" t="str">
        <f>PROPER(VLOOKUP($B18, Sheet2!$B:$I,I$3,0))</f>
        <v>$11,787,945,299</v>
      </c>
      <c r="J18" t="str">
        <f t="shared" si="2"/>
        <v>22.68</v>
      </c>
      <c r="K18">
        <f t="shared" si="0"/>
        <v>-5.8999999999999995</v>
      </c>
      <c r="U18" s="11"/>
    </row>
    <row r="19" spans="1:21" ht="22" customHeight="1" x14ac:dyDescent="0.2">
      <c r="A19" s="29" t="str">
        <f t="shared" si="1"/>
        <v>LINK</v>
      </c>
      <c r="B19" s="8">
        <v>15</v>
      </c>
      <c r="C19" t="str">
        <f>PROPER(VLOOKUP($B19, Sheet2!$B:$I,C$3,0))</f>
        <v>Chainlink (Link)</v>
      </c>
      <c r="D19" t="str">
        <f>PROPER(VLOOKUP($B19, Sheet2!$B:$I,D$3,0))</f>
        <v>$22.40</v>
      </c>
      <c r="E19" t="str">
        <f>PROPER(VLOOKUP($B19, Sheet2!$B:$I,E$3,0))</f>
        <v>-0.002</v>
      </c>
      <c r="F19" t="str">
        <f>PROPER(VLOOKUP($B19, Sheet2!$B:$I,F$3,0))</f>
        <v>-0.009</v>
      </c>
      <c r="G19" t="str">
        <f>PROPER(VLOOKUP($B19, Sheet2!$B:$I,G$3,0))</f>
        <v>0.056</v>
      </c>
      <c r="H19" t="str">
        <f>PROPER(VLOOKUP($B19, Sheet2!$B:$I,H$3,0))</f>
        <v>$947,395,011</v>
      </c>
      <c r="I19" t="str">
        <f>PROPER(VLOOKUP($B19, Sheet2!$B:$I,I$3,0))</f>
        <v>$10,182,064,286</v>
      </c>
      <c r="J19" t="str">
        <f t="shared" si="2"/>
        <v>22.40</v>
      </c>
      <c r="K19">
        <f t="shared" si="0"/>
        <v>-0.89999999999999991</v>
      </c>
    </row>
    <row r="20" spans="1:21" ht="22" customHeight="1" x14ac:dyDescent="0.2">
      <c r="A20" s="29" t="str">
        <f t="shared" si="1"/>
        <v>LTC</v>
      </c>
      <c r="B20" s="8">
        <v>16</v>
      </c>
      <c r="C20" t="str">
        <f>PROPER(VLOOKUP($B20, Sheet2!$B:$I,C$3,0))</f>
        <v>Litecoin (Ltc)</v>
      </c>
      <c r="D20" t="str">
        <f>PROPER(VLOOKUP($B20, Sheet2!$B:$I,D$3,0))</f>
        <v>$143.93</v>
      </c>
      <c r="E20" t="str">
        <f>PROPER(VLOOKUP($B20, Sheet2!$B:$I,E$3,0))</f>
        <v>-0.006</v>
      </c>
      <c r="F20" t="str">
        <f>PROPER(VLOOKUP($B20, Sheet2!$B:$I,F$3,0))</f>
        <v>-0.005</v>
      </c>
      <c r="G20" t="str">
        <f>PROPER(VLOOKUP($B20, Sheet2!$B:$I,G$3,0))</f>
        <v>-0.021</v>
      </c>
      <c r="H20" t="str">
        <f>PROPER(VLOOKUP($B20, Sheet2!$B:$I,H$3,0))</f>
        <v>$2,552,460,361</v>
      </c>
      <c r="I20" t="str">
        <f>PROPER(VLOOKUP($B20, Sheet2!$B:$I,I$3,0))</f>
        <v>$9,609,448,035</v>
      </c>
      <c r="J20" t="str">
        <f t="shared" si="2"/>
        <v>143.93</v>
      </c>
      <c r="K20">
        <f t="shared" si="0"/>
        <v>-0.5</v>
      </c>
    </row>
    <row r="21" spans="1:21" ht="22" customHeight="1" x14ac:dyDescent="0.2">
      <c r="A21" s="29" t="str">
        <f t="shared" si="1"/>
        <v>ALGO</v>
      </c>
      <c r="B21" s="8">
        <v>17</v>
      </c>
      <c r="C21" t="str">
        <f>PROPER(VLOOKUP($B21, Sheet2!$B:$I,C$3,0))</f>
        <v>Algorand (Algo)</v>
      </c>
      <c r="D21" t="str">
        <f>PROPER(VLOOKUP($B21, Sheet2!$B:$I,D$3,0))</f>
        <v>$1.57</v>
      </c>
      <c r="E21" t="str">
        <f>PROPER(VLOOKUP($B21, Sheet2!$B:$I,E$3,0))</f>
        <v>0.003</v>
      </c>
      <c r="F21" t="str">
        <f>PROPER(VLOOKUP($B21, Sheet2!$B:$I,F$3,0))</f>
        <v>-0.035</v>
      </c>
      <c r="G21" t="str">
        <f>PROPER(VLOOKUP($B21, Sheet2!$B:$I,G$3,0))</f>
        <v>0.006</v>
      </c>
      <c r="H21" t="str">
        <f>PROPER(VLOOKUP($B21, Sheet2!$B:$I,H$3,0))</f>
        <v>$440,439,823</v>
      </c>
      <c r="I21" t="str">
        <f>PROPER(VLOOKUP($B21, Sheet2!$B:$I,I$3,0))</f>
        <v>$9,415,912,024</v>
      </c>
      <c r="J21" t="str">
        <f t="shared" si="2"/>
        <v>1.57</v>
      </c>
      <c r="K21">
        <f t="shared" si="0"/>
        <v>-3.5000000000000004</v>
      </c>
    </row>
    <row r="22" spans="1:21" ht="22" customHeight="1" x14ac:dyDescent="0.2">
      <c r="A22" s="29" t="str">
        <f t="shared" si="1"/>
        <v>ATOM</v>
      </c>
      <c r="B22" s="8">
        <v>18</v>
      </c>
      <c r="C22" t="str">
        <f>PROPER(VLOOKUP($B22, Sheet2!$B:$I,C$3,0))</f>
        <v>Cosmos (Atom)</v>
      </c>
      <c r="D22" t="str">
        <f>PROPER(VLOOKUP($B22, Sheet2!$B:$I,D$3,0))</f>
        <v>$33.16</v>
      </c>
      <c r="E22" t="str">
        <f>PROPER(VLOOKUP($B22, Sheet2!$B:$I,E$3,0))</f>
        <v>-0.008</v>
      </c>
      <c r="F22" t="str">
        <f>PROPER(VLOOKUP($B22, Sheet2!$B:$I,F$3,0))</f>
        <v>-0.049</v>
      </c>
      <c r="G22" t="str">
        <f>PROPER(VLOOKUP($B22, Sheet2!$B:$I,G$3,0))</f>
        <v>0.109</v>
      </c>
      <c r="H22" t="str">
        <f>PROPER(VLOOKUP($B22, Sheet2!$B:$I,H$3,0))</f>
        <v>$875,042,258</v>
      </c>
      <c r="I22" t="str">
        <f>PROPER(VLOOKUP($B22, Sheet2!$B:$I,I$3,0))</f>
        <v>$9,331,650,661</v>
      </c>
      <c r="J22" t="str">
        <f t="shared" si="2"/>
        <v>33.16</v>
      </c>
      <c r="K22">
        <f t="shared" si="0"/>
        <v>-4.9000000000000004</v>
      </c>
    </row>
    <row r="23" spans="1:21" ht="22" customHeight="1" x14ac:dyDescent="0.2">
      <c r="A23" s="29" t="str">
        <f t="shared" si="1"/>
        <v>BCH</v>
      </c>
      <c r="B23" s="8">
        <v>19</v>
      </c>
      <c r="C23" t="str">
        <f>PROPER(VLOOKUP($B23, Sheet2!$B:$I,C$3,0))</f>
        <v>Bitcoin Cash (Bch)</v>
      </c>
      <c r="D23" t="str">
        <f>PROPER(VLOOKUP($B23, Sheet2!$B:$I,D$3,0))</f>
        <v>$475.26</v>
      </c>
      <c r="E23" t="str">
        <f>PROPER(VLOOKUP($B23, Sheet2!$B:$I,E$3,0))</f>
        <v>-0.001</v>
      </c>
      <c r="F23" t="str">
        <f>PROPER(VLOOKUP($B23, Sheet2!$B:$I,F$3,0))</f>
        <v>-0.021</v>
      </c>
      <c r="G23" t="str">
        <f>PROPER(VLOOKUP($B23, Sheet2!$B:$I,G$3,0))</f>
        <v>-0.049</v>
      </c>
      <c r="H23" t="str">
        <f>PROPER(VLOOKUP($B23, Sheet2!$B:$I,H$3,0))</f>
        <v>$6,586,183,450</v>
      </c>
      <c r="I23" t="str">
        <f>PROPER(VLOOKUP($B23, Sheet2!$B:$I,I$3,0))</f>
        <v>$8,993,219,898</v>
      </c>
      <c r="J23" t="str">
        <f t="shared" si="2"/>
        <v>475.26</v>
      </c>
      <c r="K23">
        <f t="shared" si="0"/>
        <v>-2.1</v>
      </c>
    </row>
    <row r="24" spans="1:21" ht="22" customHeight="1" x14ac:dyDescent="0.2">
      <c r="A24" s="29" t="str">
        <f t="shared" si="1"/>
        <v>WBTC</v>
      </c>
      <c r="B24" s="8">
        <v>20</v>
      </c>
      <c r="C24" t="str">
        <f>PROPER(VLOOKUP($B24, Sheet2!$B:$I,C$3,0))</f>
        <v>Wrapped Bitcoin (Wbtc)</v>
      </c>
      <c r="D24" t="str">
        <f>PROPER(VLOOKUP($B24, Sheet2!$B:$I,D$3,0))</f>
        <v>$41,182</v>
      </c>
      <c r="E24" t="str">
        <f>PROPER(VLOOKUP($B24, Sheet2!$B:$I,E$3,0))</f>
        <v>-0.002</v>
      </c>
      <c r="F24" t="str">
        <f>PROPER(VLOOKUP($B24, Sheet2!$B:$I,F$3,0))</f>
        <v>-0.018</v>
      </c>
      <c r="G24" t="str">
        <f>PROPER(VLOOKUP($B24, Sheet2!$B:$I,G$3,0))</f>
        <v>0.019</v>
      </c>
      <c r="H24" t="str">
        <f>PROPER(VLOOKUP($B24, Sheet2!$B:$I,H$3,0))</f>
        <v>$491,399,482</v>
      </c>
      <c r="I24" t="str">
        <f>PROPER(VLOOKUP($B24, Sheet2!$B:$I,I$3,0))</f>
        <v>$8,497,189,268</v>
      </c>
      <c r="J24" t="str">
        <f t="shared" si="2"/>
        <v>41,182</v>
      </c>
      <c r="K24">
        <f t="shared" si="0"/>
        <v>-1.7999999999999998</v>
      </c>
    </row>
    <row r="25" spans="1:21" ht="22" customHeight="1" x14ac:dyDescent="0.2">
      <c r="A25" s="29" t="str">
        <f t="shared" si="1"/>
        <v>MATIC</v>
      </c>
      <c r="B25" s="8">
        <v>21</v>
      </c>
      <c r="C25" t="str">
        <f>PROPER(VLOOKUP($B25, Sheet2!$B:$I,C$3,0))</f>
        <v>Polygon (Matic)</v>
      </c>
      <c r="D25" t="str">
        <f>PROPER(VLOOKUP($B25, Sheet2!$B:$I,D$3,0))</f>
        <v>$1.09</v>
      </c>
      <c r="E25" t="str">
        <f>PROPER(VLOOKUP($B25, Sheet2!$B:$I,E$3,0))</f>
        <v>0.014</v>
      </c>
      <c r="F25" t="str">
        <f>PROPER(VLOOKUP($B25, Sheet2!$B:$I,F$3,0))</f>
        <v>0.015</v>
      </c>
      <c r="G25" t="str">
        <f>PROPER(VLOOKUP($B25, Sheet2!$B:$I,G$3,0))</f>
        <v>0.042</v>
      </c>
      <c r="H25" t="str">
        <f>PROPER(VLOOKUP($B25, Sheet2!$B:$I,H$3,0))</f>
        <v>$519,761,135</v>
      </c>
      <c r="I25" t="str">
        <f>PROPER(VLOOKUP($B25, Sheet2!$B:$I,I$3,0))</f>
        <v>$7,141,264,190</v>
      </c>
      <c r="J25" t="str">
        <f t="shared" si="2"/>
        <v>1.09</v>
      </c>
      <c r="K25">
        <f t="shared" si="0"/>
        <v>1.5</v>
      </c>
    </row>
    <row r="26" spans="1:21" ht="22" customHeight="1" x14ac:dyDescent="0.2">
      <c r="A26" s="29" t="str">
        <f t="shared" si="1"/>
        <v>ICP</v>
      </c>
      <c r="B26" s="8">
        <v>22</v>
      </c>
      <c r="C26" t="str">
        <f>PROPER(VLOOKUP($B26, Sheet2!$B:$I,C$3,0))</f>
        <v>Internet Computer (Icp)</v>
      </c>
      <c r="D26" t="str">
        <f>PROPER(VLOOKUP($B26, Sheet2!$B:$I,D$3,0))</f>
        <v>$42.11</v>
      </c>
      <c r="E26" t="str">
        <f>PROPER(VLOOKUP($B26, Sheet2!$B:$I,E$3,0))</f>
        <v>0.001</v>
      </c>
      <c r="F26" t="str">
        <f>PROPER(VLOOKUP($B26, Sheet2!$B:$I,F$3,0))</f>
        <v>0.003</v>
      </c>
      <c r="G26" t="str">
        <f>PROPER(VLOOKUP($B26, Sheet2!$B:$I,G$3,0))</f>
        <v>-0.058</v>
      </c>
      <c r="H26" t="str">
        <f>PROPER(VLOOKUP($B26, Sheet2!$B:$I,H$3,0))</f>
        <v>$256,034,777</v>
      </c>
      <c r="I26" t="str">
        <f>PROPER(VLOOKUP($B26, Sheet2!$B:$I,I$3,0))</f>
        <v>$7,046,126,887</v>
      </c>
      <c r="J26" t="str">
        <f t="shared" si="2"/>
        <v>42.11</v>
      </c>
      <c r="K26">
        <f t="shared" si="0"/>
        <v>0.3</v>
      </c>
    </row>
    <row r="27" spans="1:21" ht="22" customHeight="1" x14ac:dyDescent="0.2">
      <c r="A27" s="29" t="str">
        <f t="shared" si="1"/>
        <v>XLM</v>
      </c>
      <c r="B27" s="8">
        <v>23</v>
      </c>
      <c r="C27" t="str">
        <f>PROPER(VLOOKUP($B27, Sheet2!$B:$I,C$3,0))</f>
        <v>Stellar (Xlm)</v>
      </c>
      <c r="D27" t="str">
        <f>PROPER(VLOOKUP($B27, Sheet2!$B:$I,D$3,0))</f>
        <v>$0.268630</v>
      </c>
      <c r="E27" t="str">
        <f>PROPER(VLOOKUP($B27, Sheet2!$B:$I,E$3,0))</f>
        <v>-0.009</v>
      </c>
      <c r="F27" t="str">
        <f>PROPER(VLOOKUP($B27, Sheet2!$B:$I,F$3,0))</f>
        <v>0.016</v>
      </c>
      <c r="G27" t="str">
        <f>PROPER(VLOOKUP($B27, Sheet2!$B:$I,G$3,0))</f>
        <v>0.013</v>
      </c>
      <c r="H27" t="str">
        <f>PROPER(VLOOKUP($B27, Sheet2!$B:$I,H$3,0))</f>
        <v>$425,419,243</v>
      </c>
      <c r="I27" t="str">
        <f>PROPER(VLOOKUP($B27, Sheet2!$B:$I,I$3,0))</f>
        <v>$6,380,316,970</v>
      </c>
      <c r="J27" t="str">
        <f t="shared" si="2"/>
        <v>0.268630</v>
      </c>
      <c r="K27">
        <f t="shared" si="0"/>
        <v>1.6</v>
      </c>
    </row>
    <row r="28" spans="1:21" ht="22" customHeight="1" x14ac:dyDescent="0.2">
      <c r="A28" s="29" t="str">
        <f t="shared" si="1"/>
        <v>DAI</v>
      </c>
      <c r="B28" s="8">
        <v>24</v>
      </c>
      <c r="C28" t="str">
        <f>PROPER(VLOOKUP($B28, Sheet2!$B:$I,C$3,0))</f>
        <v>Dai (Dai)</v>
      </c>
      <c r="D28" t="str">
        <f>PROPER(VLOOKUP($B28, Sheet2!$B:$I,D$3,0))</f>
        <v>$1.00</v>
      </c>
      <c r="E28" t="str">
        <f>PROPER(VLOOKUP($B28, Sheet2!$B:$I,E$3,0))</f>
        <v>0.002</v>
      </c>
      <c r="F28" t="str">
        <f>PROPER(VLOOKUP($B28, Sheet2!$B:$I,F$3,0))</f>
        <v>0.001</v>
      </c>
      <c r="G28" t="str">
        <f>PROPER(VLOOKUP($B28, Sheet2!$B:$I,G$3,0))</f>
        <v>0.009</v>
      </c>
      <c r="H28" t="str">
        <f>PROPER(VLOOKUP($B28, Sheet2!$B:$I,H$3,0))</f>
        <v>$442,480,956</v>
      </c>
      <c r="I28" t="str">
        <f>PROPER(VLOOKUP($B28, Sheet2!$B:$I,I$3,0))</f>
        <v>$6,188,270,408</v>
      </c>
      <c r="J28" t="str">
        <f t="shared" si="2"/>
        <v>1.00</v>
      </c>
      <c r="K28">
        <f t="shared" si="0"/>
        <v>0.1</v>
      </c>
    </row>
    <row r="29" spans="1:21" ht="22" customHeight="1" x14ac:dyDescent="0.2">
      <c r="A29" s="29" t="str">
        <f t="shared" si="1"/>
        <v>FIL</v>
      </c>
      <c r="B29" s="8">
        <v>25</v>
      </c>
      <c r="C29" t="str">
        <f>PROPER(VLOOKUP($B29, Sheet2!$B:$I,C$3,0))</f>
        <v>Filecoin (Fil)</v>
      </c>
      <c r="D29" t="str">
        <f>PROPER(VLOOKUP($B29, Sheet2!$B:$I,D$3,0))</f>
        <v>$56.15</v>
      </c>
      <c r="E29" t="str">
        <f>PROPER(VLOOKUP($B29, Sheet2!$B:$I,E$3,0))</f>
        <v>-0.002</v>
      </c>
      <c r="F29" t="str">
        <f>PROPER(VLOOKUP($B29, Sheet2!$B:$I,F$3,0))</f>
        <v>-0.005</v>
      </c>
      <c r="G29" t="str">
        <f>PROPER(VLOOKUP($B29, Sheet2!$B:$I,G$3,0))</f>
        <v>-0.186</v>
      </c>
      <c r="H29" t="str">
        <f>PROPER(VLOOKUP($B29, Sheet2!$B:$I,H$3,0))</f>
        <v>$1,035,843,413</v>
      </c>
      <c r="I29" t="str">
        <f>PROPER(VLOOKUP($B29, Sheet2!$B:$I,I$3,0))</f>
        <v>$6,160,450,489</v>
      </c>
      <c r="J29" t="str">
        <f t="shared" si="2"/>
        <v>56.15</v>
      </c>
      <c r="K29">
        <f t="shared" si="0"/>
        <v>-0.5</v>
      </c>
    </row>
    <row r="30" spans="1:21" ht="22" customHeight="1" x14ac:dyDescent="0.2">
      <c r="A30" s="29" t="str">
        <f t="shared" si="1"/>
        <v>TRX</v>
      </c>
      <c r="B30" s="8">
        <v>26</v>
      </c>
      <c r="C30" t="str">
        <f>PROPER(VLOOKUP($B30, Sheet2!$B:$I,C$3,0))</f>
        <v>Tron (Trx)</v>
      </c>
      <c r="D30" t="str">
        <f>PROPER(VLOOKUP($B30, Sheet2!$B:$I,D$3,0))</f>
        <v>$0.085374883067</v>
      </c>
      <c r="E30" t="str">
        <f>PROPER(VLOOKUP($B30, Sheet2!$B:$I,E$3,0))</f>
        <v>0.001</v>
      </c>
      <c r="F30" t="str">
        <f>PROPER(VLOOKUP($B30, Sheet2!$B:$I,F$3,0))</f>
        <v>0.005</v>
      </c>
      <c r="G30" t="str">
        <f>PROPER(VLOOKUP($B30, Sheet2!$B:$I,G$3,0))</f>
        <v>-0.026</v>
      </c>
      <c r="H30" t="str">
        <f>PROPER(VLOOKUP($B30, Sheet2!$B:$I,H$3,0))</f>
        <v>$1,123,421,346</v>
      </c>
      <c r="I30" t="str">
        <f>PROPER(VLOOKUP($B30, Sheet2!$B:$I,I$3,0))</f>
        <v>$6,119,237,629</v>
      </c>
      <c r="J30" t="str">
        <f t="shared" si="2"/>
        <v>0.085374883067</v>
      </c>
      <c r="K30">
        <f t="shared" si="0"/>
        <v>0.5</v>
      </c>
    </row>
    <row r="31" spans="1:21" ht="22" customHeight="1" x14ac:dyDescent="0.2">
      <c r="A31" s="29" t="str">
        <f t="shared" si="1"/>
        <v>FTT</v>
      </c>
      <c r="B31" s="8">
        <v>27</v>
      </c>
      <c r="C31" t="str">
        <f>PROPER(VLOOKUP($B31, Sheet2!$B:$I,C$3,0))</f>
        <v>Ftx Token (Ftt)</v>
      </c>
      <c r="D31" t="str">
        <f>PROPER(VLOOKUP($B31, Sheet2!$B:$I,D$3,0))</f>
        <v>$49.48</v>
      </c>
      <c r="E31" t="str">
        <f>PROPER(VLOOKUP($B31, Sheet2!$B:$I,E$3,0))</f>
        <v>0.001</v>
      </c>
      <c r="F31" t="str">
        <f>PROPER(VLOOKUP($B31, Sheet2!$B:$I,F$3,0))</f>
        <v>-0.003</v>
      </c>
      <c r="G31" t="str">
        <f>PROPER(VLOOKUP($B31, Sheet2!$B:$I,G$3,0))</f>
        <v>-0.033</v>
      </c>
      <c r="H31" t="str">
        <f>PROPER(VLOOKUP($B31, Sheet2!$B:$I,H$3,0))</f>
        <v>$462,891,395</v>
      </c>
      <c r="I31" t="str">
        <f>PROPER(VLOOKUP($B31, Sheet2!$B:$I,I$3,0))</f>
        <v>$5,967,038,076</v>
      </c>
      <c r="J31" t="str">
        <f t="shared" si="2"/>
        <v>49.48</v>
      </c>
      <c r="K31">
        <f t="shared" si="0"/>
        <v>-0.3</v>
      </c>
    </row>
    <row r="32" spans="1:21" ht="22" customHeight="1" x14ac:dyDescent="0.2">
      <c r="A32" s="29" t="str">
        <f t="shared" si="1"/>
        <v>ETC</v>
      </c>
      <c r="B32" s="8">
        <v>28</v>
      </c>
      <c r="C32" t="str">
        <f>PROPER(VLOOKUP($B32, Sheet2!$B:$I,C$3,0))</f>
        <v>Ethereum Classic (Etc)</v>
      </c>
      <c r="D32" t="str">
        <f>PROPER(VLOOKUP($B32, Sheet2!$B:$I,D$3,0))</f>
        <v>$45.25</v>
      </c>
      <c r="E32" t="str">
        <f>PROPER(VLOOKUP($B32, Sheet2!$B:$I,E$3,0))</f>
        <v>0.008</v>
      </c>
      <c r="F32" t="str">
        <f>PROPER(VLOOKUP($B32, Sheet2!$B:$I,F$3,0))</f>
        <v>-0.018</v>
      </c>
      <c r="G32" t="str">
        <f>PROPER(VLOOKUP($B32, Sheet2!$B:$I,G$3,0))</f>
        <v>0.007</v>
      </c>
      <c r="H32" t="str">
        <f>PROPER(VLOOKUP($B32, Sheet2!$B:$I,H$3,0))</f>
        <v>$4,047,427,847</v>
      </c>
      <c r="I32" t="str">
        <f>PROPER(VLOOKUP($B32, Sheet2!$B:$I,I$3,0))</f>
        <v>$5,852,446,825</v>
      </c>
      <c r="J32" t="str">
        <f t="shared" si="2"/>
        <v>45.25</v>
      </c>
      <c r="K32">
        <f t="shared" si="0"/>
        <v>-1.7999999999999998</v>
      </c>
    </row>
    <row r="33" spans="1:11" ht="22" customHeight="1" x14ac:dyDescent="0.2">
      <c r="A33" s="29" t="str">
        <f t="shared" si="1"/>
        <v>VET</v>
      </c>
      <c r="B33" s="8">
        <v>29</v>
      </c>
      <c r="C33" t="str">
        <f>PROPER(VLOOKUP($B33, Sheet2!$B:$I,C$3,0))</f>
        <v>Vechain (Vet)</v>
      </c>
      <c r="D33" t="str">
        <f>PROPER(VLOOKUP($B33, Sheet2!$B:$I,D$3,0))</f>
        <v>$0.083527245481</v>
      </c>
      <c r="E33" t="str">
        <f>PROPER(VLOOKUP($B33, Sheet2!$B:$I,E$3,0))</f>
        <v>-0.002</v>
      </c>
      <c r="F33" t="str">
        <f>PROPER(VLOOKUP($B33, Sheet2!$B:$I,F$3,0))</f>
        <v>-0.007</v>
      </c>
      <c r="G33" t="str">
        <f>PROPER(VLOOKUP($B33, Sheet2!$B:$I,G$3,0))</f>
        <v>-0.04</v>
      </c>
      <c r="H33" t="str">
        <f>PROPER(VLOOKUP($B33, Sheet2!$B:$I,H$3,0))</f>
        <v>$321,294,108</v>
      </c>
      <c r="I33" t="str">
        <f>PROPER(VLOOKUP($B33, Sheet2!$B:$I,I$3,0))</f>
        <v>$5,577,194,605</v>
      </c>
      <c r="J33" t="str">
        <f t="shared" si="2"/>
        <v>0.083527245481</v>
      </c>
      <c r="K33">
        <f t="shared" si="0"/>
        <v>-0.70000000000000007</v>
      </c>
    </row>
    <row r="34" spans="1:11" ht="22" customHeight="1" x14ac:dyDescent="0.2">
      <c r="A34" s="29" t="str">
        <f t="shared" si="1"/>
        <v>CETH</v>
      </c>
      <c r="B34" s="8">
        <v>30</v>
      </c>
      <c r="C34" t="str">
        <f>PROPER(VLOOKUP($B34, Sheet2!$B:$I,C$3,0))</f>
        <v>Ceth (Ceth)</v>
      </c>
      <c r="D34" t="str">
        <f>PROPER(VLOOKUP($B34, Sheet2!$B:$I,D$3,0))</f>
        <v>$56.61</v>
      </c>
      <c r="E34" t="str">
        <f>PROPER(VLOOKUP($B34, Sheet2!$B:$I,E$3,0))</f>
        <v>0.001</v>
      </c>
      <c r="F34" t="str">
        <f>PROPER(VLOOKUP($B34, Sheet2!$B:$I,F$3,0))</f>
        <v>-0.017</v>
      </c>
      <c r="G34" t="str">
        <f>PROPER(VLOOKUP($B34, Sheet2!$B:$I,G$3,0))</f>
        <v>0.027</v>
      </c>
      <c r="H34" t="str">
        <f>PROPER(VLOOKUP($B34, Sheet2!$B:$I,H$3,0))</f>
        <v>$13,371,577</v>
      </c>
      <c r="I34" t="str">
        <f>PROPER(VLOOKUP($B34, Sheet2!$B:$I,I$3,0))</f>
        <v>$5,323,342,893</v>
      </c>
      <c r="J34" t="str">
        <f t="shared" si="2"/>
        <v>56.61</v>
      </c>
      <c r="K34">
        <f t="shared" si="0"/>
        <v>-1.7000000000000002</v>
      </c>
    </row>
    <row r="35" spans="1:11" ht="22" customHeight="1" x14ac:dyDescent="0.2">
      <c r="A35" s="29" t="str">
        <f t="shared" si="1"/>
        <v>BCHA</v>
      </c>
      <c r="B35" s="8">
        <v>31</v>
      </c>
      <c r="C35" t="str">
        <f>PROPER(VLOOKUP($B35, Sheet2!$B:$I,C$3,0))</f>
        <v>Bitcoin Cash Abc (Bcha)</v>
      </c>
      <c r="D35" t="str">
        <f>PROPER(VLOOKUP($B35, Sheet2!$B:$I,D$3,0))</f>
        <v>$259.29</v>
      </c>
      <c r="E35" t="str">
        <f>PROPER(VLOOKUP($B35, Sheet2!$B:$I,E$3,0))</f>
        <v>-0.001</v>
      </c>
      <c r="F35" t="str">
        <f>PROPER(VLOOKUP($B35, Sheet2!$B:$I,F$3,0))</f>
        <v>-0.088</v>
      </c>
      <c r="G35" t="str">
        <f>PROPER(VLOOKUP($B35, Sheet2!$B:$I,G$3,0))</f>
        <v>0.234</v>
      </c>
      <c r="H35" t="str">
        <f>PROPER(VLOOKUP($B35, Sheet2!$B:$I,H$3,0))</f>
        <v>$487,327,587</v>
      </c>
      <c r="I35" t="str">
        <f>PROPER(VLOOKUP($B35, Sheet2!$B:$I,I$3,0))</f>
        <v>$4,873,153,756</v>
      </c>
      <c r="J35" t="str">
        <f t="shared" si="2"/>
        <v>259.29</v>
      </c>
      <c r="K35">
        <f t="shared" si="0"/>
        <v>-8.7999999999999989</v>
      </c>
    </row>
    <row r="36" spans="1:11" ht="22" customHeight="1" x14ac:dyDescent="0.2">
      <c r="A36" s="29" t="str">
        <f t="shared" si="1"/>
        <v>THETA</v>
      </c>
      <c r="B36" s="8">
        <v>32</v>
      </c>
      <c r="C36" t="str">
        <f>PROPER(VLOOKUP($B36, Sheet2!$B:$I,C$3,0))</f>
        <v>Theta Network (Theta)</v>
      </c>
      <c r="D36" t="str">
        <f>PROPER(VLOOKUP($B36, Sheet2!$B:$I,D$3,0))</f>
        <v>$4.78</v>
      </c>
      <c r="E36" t="str">
        <f>PROPER(VLOOKUP($B36, Sheet2!$B:$I,E$3,0))</f>
        <v>-0.011</v>
      </c>
      <c r="F36" t="str">
        <f>PROPER(VLOOKUP($B36, Sheet2!$B:$I,F$3,0))</f>
        <v>-0.005</v>
      </c>
      <c r="G36" t="str">
        <f>PROPER(VLOOKUP($B36, Sheet2!$B:$I,G$3,0))</f>
        <v>-0.033</v>
      </c>
      <c r="H36" t="str">
        <f>PROPER(VLOOKUP($B36, Sheet2!$B:$I,H$3,0))</f>
        <v>$231,320,050</v>
      </c>
      <c r="I36" t="str">
        <f>PROPER(VLOOKUP($B36, Sheet2!$B:$I,I$3,0))</f>
        <v>$4,783,827,217</v>
      </c>
      <c r="J36" t="str">
        <f t="shared" si="2"/>
        <v>4.78</v>
      </c>
      <c r="K36">
        <f t="shared" si="0"/>
        <v>-0.5</v>
      </c>
    </row>
    <row r="37" spans="1:11" ht="22" customHeight="1" x14ac:dyDescent="0.2">
      <c r="A37" s="29" t="str">
        <f t="shared" si="1"/>
        <v>XTZ</v>
      </c>
      <c r="B37" s="8">
        <v>33</v>
      </c>
      <c r="C37" t="str">
        <f>PROPER(VLOOKUP($B37, Sheet2!$B:$I,C$3,0))</f>
        <v>Tezos (Xtz)</v>
      </c>
      <c r="D37" t="str">
        <f>PROPER(VLOOKUP($B37, Sheet2!$B:$I,D$3,0))</f>
        <v>$5.50</v>
      </c>
      <c r="E37" t="str">
        <f>PROPER(VLOOKUP($B37, Sheet2!$B:$I,E$3,0))</f>
        <v>-0.006</v>
      </c>
      <c r="F37" t="str">
        <f>PROPER(VLOOKUP($B37, Sheet2!$B:$I,F$3,0))</f>
        <v>-0.045</v>
      </c>
      <c r="G37" t="str">
        <f>PROPER(VLOOKUP($B37, Sheet2!$B:$I,G$3,0))</f>
        <v>0.196</v>
      </c>
      <c r="H37" t="str">
        <f>PROPER(VLOOKUP($B37, Sheet2!$B:$I,H$3,0))</f>
        <v>$473,611,780</v>
      </c>
      <c r="I37" t="str">
        <f>PROPER(VLOOKUP($B37, Sheet2!$B:$I,I$3,0))</f>
        <v>$4,741,537,704</v>
      </c>
      <c r="J37" t="str">
        <f t="shared" si="2"/>
        <v>5.50</v>
      </c>
      <c r="K37">
        <f t="shared" si="0"/>
        <v>-4.5</v>
      </c>
    </row>
    <row r="38" spans="1:11" ht="22" customHeight="1" x14ac:dyDescent="0.2">
      <c r="A38" s="29" t="str">
        <f t="shared" si="1"/>
        <v>XEC</v>
      </c>
      <c r="B38" s="8">
        <v>34</v>
      </c>
      <c r="C38" t="str">
        <f>PROPER(VLOOKUP($B38, Sheet2!$B:$I,C$3,0))</f>
        <v>Ecash (Xec)</v>
      </c>
      <c r="D38" t="str">
        <f>PROPER(VLOOKUP($B38, Sheet2!$B:$I,D$3,0))</f>
        <v>$0.000240767740</v>
      </c>
      <c r="E38" t="str">
        <f>PROPER(VLOOKUP($B38, Sheet2!$B:$I,E$3,0))</f>
        <v>-0.022</v>
      </c>
      <c r="F38" t="str">
        <f>PROPER(VLOOKUP($B38, Sheet2!$B:$I,F$3,0))</f>
        <v>-0.078</v>
      </c>
      <c r="G38" t="str">
        <f>PROPER(VLOOKUP($B38, Sheet2!$B:$I,G$3,0))</f>
        <v>0.209</v>
      </c>
      <c r="H38" t="str">
        <f>PROPER(VLOOKUP($B38, Sheet2!$B:$I,H$3,0))</f>
        <v>$160,800,597</v>
      </c>
      <c r="I38" t="str">
        <f>PROPER(VLOOKUP($B38, Sheet2!$B:$I,I$3,0))</f>
        <v>$4,640,935,301</v>
      </c>
      <c r="J38" t="str">
        <f t="shared" si="2"/>
        <v>0.000240767740</v>
      </c>
      <c r="K38">
        <f t="shared" si="0"/>
        <v>-7.8</v>
      </c>
    </row>
    <row r="39" spans="1:11" ht="22" customHeight="1" x14ac:dyDescent="0.2">
      <c r="A39" s="29" t="str">
        <f t="shared" si="1"/>
        <v>CUSDC</v>
      </c>
      <c r="B39" s="8">
        <v>35</v>
      </c>
      <c r="C39" t="str">
        <f>PROPER(VLOOKUP($B39, Sheet2!$B:$I,C$3,0))</f>
        <v>Cusdc (Cusdc)</v>
      </c>
      <c r="D39" t="str">
        <f>PROPER(VLOOKUP($B39, Sheet2!$B:$I,D$3,0))</f>
        <v>$0.022327843083</v>
      </c>
      <c r="E39" t="str">
        <f>PROPER(VLOOKUP($B39, Sheet2!$B:$I,E$3,0))</f>
        <v>0.003</v>
      </c>
      <c r="F39" t="str">
        <f>PROPER(VLOOKUP($B39, Sheet2!$B:$I,F$3,0))</f>
        <v>0.003</v>
      </c>
      <c r="G39" t="str">
        <f>PROPER(VLOOKUP($B39, Sheet2!$B:$I,G$3,0))</f>
        <v>0.01</v>
      </c>
      <c r="H39" t="str">
        <f>PROPER(VLOOKUP($B39, Sheet2!$B:$I,H$3,0))</f>
        <v>$20,337,234</v>
      </c>
      <c r="I39" t="str">
        <f>PROPER(VLOOKUP($B39, Sheet2!$B:$I,I$3,0))</f>
        <v>$4,543,219,023</v>
      </c>
      <c r="J39" t="str">
        <f t="shared" si="2"/>
        <v>0.022327843083</v>
      </c>
      <c r="K39">
        <f t="shared" si="0"/>
        <v>0.3</v>
      </c>
    </row>
    <row r="40" spans="1:11" ht="22" customHeight="1" x14ac:dyDescent="0.2">
      <c r="A40" s="29" t="str">
        <f t="shared" si="1"/>
        <v>CDAI</v>
      </c>
      <c r="B40" s="8">
        <v>36</v>
      </c>
      <c r="C40" t="str">
        <f>PROPER(VLOOKUP($B40, Sheet2!$B:$I,C$3,0))</f>
        <v>Cdai (Cdai)</v>
      </c>
      <c r="D40" t="str">
        <f>PROPER(VLOOKUP($B40, Sheet2!$B:$I,D$3,0))</f>
        <v>$0.021743681028</v>
      </c>
      <c r="E40" t="str">
        <f>PROPER(VLOOKUP($B40, Sheet2!$B:$I,E$3,0))</f>
        <v>0.003</v>
      </c>
      <c r="F40" t="str">
        <f>PROPER(VLOOKUP($B40, Sheet2!$B:$I,F$3,0))</f>
        <v>0.002</v>
      </c>
      <c r="G40" t="str">
        <f>PROPER(VLOOKUP($B40, Sheet2!$B:$I,G$3,0))</f>
        <v>0.009</v>
      </c>
      <c r="H40" t="str">
        <f>PROPER(VLOOKUP($B40, Sheet2!$B:$I,H$3,0))</f>
        <v>$37,548,247</v>
      </c>
      <c r="I40" t="str">
        <f>PROPER(VLOOKUP($B40, Sheet2!$B:$I,I$3,0))</f>
        <v>$4,444,144,114</v>
      </c>
      <c r="J40" t="str">
        <f t="shared" si="2"/>
        <v>0.021743681028</v>
      </c>
      <c r="K40">
        <f t="shared" si="0"/>
        <v>0.2</v>
      </c>
    </row>
    <row r="41" spans="1:11" ht="22" customHeight="1" x14ac:dyDescent="0.2">
      <c r="A41" s="29" t="str">
        <f t="shared" si="1"/>
        <v>OKB</v>
      </c>
      <c r="B41" s="8">
        <v>37</v>
      </c>
      <c r="C41" t="str">
        <f>PROPER(VLOOKUP($B41, Sheet2!$B:$I,C$3,0))</f>
        <v>Okb (Okb)</v>
      </c>
      <c r="D41" t="str">
        <f>PROPER(VLOOKUP($B41, Sheet2!$B:$I,D$3,0))</f>
        <v>$16.06</v>
      </c>
      <c r="E41" t="str">
        <f>PROPER(VLOOKUP($B41, Sheet2!$B:$I,E$3,0))</f>
        <v>0.018</v>
      </c>
      <c r="F41" t="str">
        <f>PROPER(VLOOKUP($B41, Sheet2!$B:$I,F$3,0))</f>
        <v>0.009</v>
      </c>
      <c r="G41" t="str">
        <f>PROPER(VLOOKUP($B41, Sheet2!$B:$I,G$3,0))</f>
        <v>-0.016</v>
      </c>
      <c r="H41" t="str">
        <f>PROPER(VLOOKUP($B41, Sheet2!$B:$I,H$3,0))</f>
        <v>$534,939,296</v>
      </c>
      <c r="I41" t="str">
        <f>PROPER(VLOOKUP($B41, Sheet2!$B:$I,I$3,0))</f>
        <v>$4,258,505,303</v>
      </c>
      <c r="J41" t="str">
        <f t="shared" si="2"/>
        <v>16.06</v>
      </c>
      <c r="K41">
        <f t="shared" si="0"/>
        <v>0.89999999999999991</v>
      </c>
    </row>
    <row r="42" spans="1:11" ht="22" customHeight="1" x14ac:dyDescent="0.2">
      <c r="A42" s="29" t="str">
        <f t="shared" si="1"/>
        <v>CAKE</v>
      </c>
      <c r="B42" s="8">
        <v>38</v>
      </c>
      <c r="C42" t="str">
        <f>PROPER(VLOOKUP($B42, Sheet2!$B:$I,C$3,0))</f>
        <v>Pancakeswap (Cake)</v>
      </c>
      <c r="D42" t="str">
        <f>PROPER(VLOOKUP($B42, Sheet2!$B:$I,D$3,0))</f>
        <v>$18.35</v>
      </c>
      <c r="E42" t="str">
        <f>PROPER(VLOOKUP($B42, Sheet2!$B:$I,E$3,0))</f>
        <v>-0.006</v>
      </c>
      <c r="F42" t="str">
        <f>PROPER(VLOOKUP($B42, Sheet2!$B:$I,F$3,0))</f>
        <v>-0.002</v>
      </c>
      <c r="G42" t="str">
        <f>PROPER(VLOOKUP($B42, Sheet2!$B:$I,G$3,0))</f>
        <v>0.024</v>
      </c>
      <c r="H42" t="str">
        <f>PROPER(VLOOKUP($B42, Sheet2!$B:$I,H$3,0))</f>
        <v>$218,713,868</v>
      </c>
      <c r="I42" t="str">
        <f>PROPER(VLOOKUP($B42, Sheet2!$B:$I,I$3,0))</f>
        <v>$4,157,184,815</v>
      </c>
      <c r="J42" t="str">
        <f t="shared" si="2"/>
        <v>18.35</v>
      </c>
      <c r="K42">
        <f t="shared" si="0"/>
        <v>-0.2</v>
      </c>
    </row>
    <row r="43" spans="1:11" ht="22" customHeight="1" x14ac:dyDescent="0.2">
      <c r="A43" s="29" t="str">
        <f t="shared" si="1"/>
        <v>XMR</v>
      </c>
      <c r="B43" s="8">
        <v>39</v>
      </c>
      <c r="C43" t="str">
        <f>PROPER(VLOOKUP($B43, Sheet2!$B:$I,C$3,0))</f>
        <v>Monero (Xmr)</v>
      </c>
      <c r="D43" t="str">
        <f>PROPER(VLOOKUP($B43, Sheet2!$B:$I,D$3,0))</f>
        <v>$231.33</v>
      </c>
      <c r="E43" t="str">
        <f>PROPER(VLOOKUP($B43, Sheet2!$B:$I,E$3,0))</f>
        <v>0.001</v>
      </c>
      <c r="F43" t="str">
        <f>PROPER(VLOOKUP($B43, Sheet2!$B:$I,F$3,0))</f>
        <v>-0.011</v>
      </c>
      <c r="G43" t="str">
        <f>PROPER(VLOOKUP($B43, Sheet2!$B:$I,G$3,0))</f>
        <v>0.076</v>
      </c>
      <c r="H43" t="str">
        <f>PROPER(VLOOKUP($B43, Sheet2!$B:$I,H$3,0))</f>
        <v>$205,924,722</v>
      </c>
      <c r="I43" t="str">
        <f>PROPER(VLOOKUP($B43, Sheet2!$B:$I,I$3,0))</f>
        <v>$4,158,184,692</v>
      </c>
      <c r="J43" t="str">
        <f t="shared" si="2"/>
        <v>231.33</v>
      </c>
      <c r="K43">
        <f t="shared" si="0"/>
        <v>-1.0999999999999999</v>
      </c>
    </row>
    <row r="44" spans="1:11" ht="22" customHeight="1" x14ac:dyDescent="0.2">
      <c r="A44" s="29" t="str">
        <f t="shared" si="1"/>
        <v>AXS</v>
      </c>
      <c r="B44" s="8">
        <v>40</v>
      </c>
      <c r="C44" t="str">
        <f>PROPER(VLOOKUP($B44, Sheet2!$B:$I,C$3,0))</f>
        <v>Axie Infinity (Axs)</v>
      </c>
      <c r="D44" t="str">
        <f>PROPER(VLOOKUP($B44, Sheet2!$B:$I,D$3,0))</f>
        <v>$69.41</v>
      </c>
      <c r="E44" t="str">
        <f>PROPER(VLOOKUP($B44, Sheet2!$B:$I,E$3,0))</f>
        <v>-0.008</v>
      </c>
      <c r="F44" t="str">
        <f>PROPER(VLOOKUP($B44, Sheet2!$B:$I,F$3,0))</f>
        <v>-0.006</v>
      </c>
      <c r="G44" t="str">
        <f>PROPER(VLOOKUP($B44, Sheet2!$B:$I,G$3,0))</f>
        <v>0.381</v>
      </c>
      <c r="H44" t="str">
        <f>PROPER(VLOOKUP($B44, Sheet2!$B:$I,H$3,0))</f>
        <v>$606,889,225</v>
      </c>
      <c r="I44" t="str">
        <f>PROPER(VLOOKUP($B44, Sheet2!$B:$I,I$3,0))</f>
        <v>$4,018,894,662</v>
      </c>
      <c r="J44" t="str">
        <f t="shared" si="2"/>
        <v>69.41</v>
      </c>
      <c r="K44">
        <f t="shared" si="0"/>
        <v>-0.6</v>
      </c>
    </row>
    <row r="45" spans="1:11" ht="22" customHeight="1" x14ac:dyDescent="0.2">
      <c r="A45" s="29" t="str">
        <f t="shared" si="1"/>
        <v>EGLD</v>
      </c>
      <c r="B45" s="8">
        <v>41</v>
      </c>
      <c r="C45" t="str">
        <f>PROPER(VLOOKUP($B45, Sheet2!$B:$I,C$3,0))</f>
        <v>Elrond (Egld)</v>
      </c>
      <c r="D45" t="str">
        <f>PROPER(VLOOKUP($B45, Sheet2!$B:$I,D$3,0))</f>
        <v>$198.69</v>
      </c>
      <c r="E45" t="str">
        <f>PROPER(VLOOKUP($B45, Sheet2!$B:$I,E$3,0))</f>
        <v>-0.007</v>
      </c>
      <c r="F45" t="str">
        <f>PROPER(VLOOKUP($B45, Sheet2!$B:$I,F$3,0))</f>
        <v>-0.035</v>
      </c>
      <c r="G45" t="str">
        <f>PROPER(VLOOKUP($B45, Sheet2!$B:$I,G$3,0))</f>
        <v>0.002</v>
      </c>
      <c r="H45" t="str">
        <f>PROPER(VLOOKUP($B45, Sheet2!$B:$I,H$3,0))</f>
        <v>$164,852,270</v>
      </c>
      <c r="I45" t="str">
        <f>PROPER(VLOOKUP($B45, Sheet2!$B:$I,I$3,0))</f>
        <v>$3,967,460,254</v>
      </c>
      <c r="J45" t="str">
        <f t="shared" si="2"/>
        <v>198.69</v>
      </c>
      <c r="K45">
        <f t="shared" si="0"/>
        <v>-3.5000000000000004</v>
      </c>
    </row>
    <row r="46" spans="1:11" ht="22" customHeight="1" x14ac:dyDescent="0.2">
      <c r="A46" s="29" t="str">
        <f t="shared" si="1"/>
        <v>CRO</v>
      </c>
      <c r="B46" s="8">
        <v>42</v>
      </c>
      <c r="C46" t="str">
        <f>PROPER(VLOOKUP($B46, Sheet2!$B:$I,C$3,0))</f>
        <v>Crypto.Com Coin (Cro)</v>
      </c>
      <c r="D46" t="str">
        <f>PROPER(VLOOKUP($B46, Sheet2!$B:$I,D$3,0))</f>
        <v>$0.148160</v>
      </c>
      <c r="E46" t="str">
        <f>PROPER(VLOOKUP($B46, Sheet2!$B:$I,E$3,0))</f>
        <v>-0.001</v>
      </c>
      <c r="F46" t="str">
        <f>PROPER(VLOOKUP($B46, Sheet2!$B:$I,F$3,0))</f>
        <v>-0.012</v>
      </c>
      <c r="G46" t="str">
        <f>PROPER(VLOOKUP($B46, Sheet2!$B:$I,G$3,0))</f>
        <v>-0.017</v>
      </c>
      <c r="H46" t="str">
        <f>PROPER(VLOOKUP($B46, Sheet2!$B:$I,H$3,0))</f>
        <v>$35,157,285</v>
      </c>
      <c r="I46" t="str">
        <f>PROPER(VLOOKUP($B46, Sheet2!$B:$I,I$3,0))</f>
        <v>$3,742,970,385</v>
      </c>
      <c r="J46" t="str">
        <f t="shared" si="2"/>
        <v>0.148160</v>
      </c>
      <c r="K46">
        <f t="shared" si="0"/>
        <v>-1.2</v>
      </c>
    </row>
    <row r="47" spans="1:11" ht="22" customHeight="1" x14ac:dyDescent="0.2">
      <c r="A47" s="29" t="str">
        <f t="shared" si="1"/>
        <v>STETH</v>
      </c>
      <c r="B47" s="8">
        <v>43</v>
      </c>
      <c r="C47" t="str">
        <f>PROPER(VLOOKUP($B47, Sheet2!$B:$I,C$3,0))</f>
        <v>Lido Staked Ether (Steth)</v>
      </c>
      <c r="D47" t="str">
        <f>PROPER(VLOOKUP($B47, Sheet2!$B:$I,D$3,0))</f>
        <v>$2,788.22</v>
      </c>
      <c r="E47" t="str">
        <f>PROPER(VLOOKUP($B47, Sheet2!$B:$I,E$3,0))</f>
        <v>-0.004</v>
      </c>
      <c r="F47" t="str">
        <f>PROPER(VLOOKUP($B47, Sheet2!$B:$I,F$3,0))</f>
        <v>-0.022</v>
      </c>
      <c r="G47" t="str">
        <f>PROPER(VLOOKUP($B47, Sheet2!$B:$I,G$3,0))</f>
        <v>0.026</v>
      </c>
      <c r="H47" t="str">
        <f>PROPER(VLOOKUP($B47, Sheet2!$B:$I,H$3,0))</f>
        <v>$10,131,307</v>
      </c>
      <c r="I47" t="str">
        <f>PROPER(VLOOKUP($B47, Sheet2!$B:$I,I$3,0))</f>
        <v>$3,691,241,439</v>
      </c>
      <c r="J47" t="str">
        <f t="shared" si="2"/>
        <v>2,788.22</v>
      </c>
      <c r="K47">
        <f t="shared" si="0"/>
        <v>-2.1999999999999997</v>
      </c>
    </row>
    <row r="48" spans="1:11" ht="22" customHeight="1" x14ac:dyDescent="0.2">
      <c r="A48" s="29" t="str">
        <f t="shared" si="1"/>
        <v>QNT</v>
      </c>
      <c r="B48" s="8">
        <v>44</v>
      </c>
      <c r="C48" t="str">
        <f>PROPER(VLOOKUP($B48, Sheet2!$B:$I,C$3,0))</f>
        <v>Quant (Qnt)</v>
      </c>
      <c r="D48" t="str">
        <f>PROPER(VLOOKUP($B48, Sheet2!$B:$I,D$3,0))</f>
        <v>$270.98</v>
      </c>
      <c r="E48" t="str">
        <f>PROPER(VLOOKUP($B48, Sheet2!$B:$I,E$3,0))</f>
        <v>-0.01</v>
      </c>
      <c r="F48" t="str">
        <f>PROPER(VLOOKUP($B48, Sheet2!$B:$I,F$3,0))</f>
        <v>-0.047</v>
      </c>
      <c r="G48" t="str">
        <f>PROPER(VLOOKUP($B48, Sheet2!$B:$I,G$3,0))</f>
        <v>0.034</v>
      </c>
      <c r="H48" t="str">
        <f>PROPER(VLOOKUP($B48, Sheet2!$B:$I,H$3,0))</f>
        <v>$52,943,198</v>
      </c>
      <c r="I48" t="str">
        <f>PROPER(VLOOKUP($B48, Sheet2!$B:$I,I$3,0))</f>
        <v>$3,624,630,512</v>
      </c>
      <c r="J48" t="str">
        <f t="shared" si="2"/>
        <v>270.98</v>
      </c>
      <c r="K48">
        <f t="shared" si="0"/>
        <v>-4.7</v>
      </c>
    </row>
    <row r="49" spans="1:11" ht="22" customHeight="1" x14ac:dyDescent="0.2">
      <c r="A49" s="29" t="str">
        <f t="shared" si="1"/>
        <v>EOS</v>
      </c>
      <c r="B49" s="8">
        <v>45</v>
      </c>
      <c r="C49" t="str">
        <f>PROPER(VLOOKUP($B49, Sheet2!$B:$I,C$3,0))</f>
        <v>Eos (Eos)</v>
      </c>
      <c r="D49" t="str">
        <f>PROPER(VLOOKUP($B49, Sheet2!$B:$I,D$3,0))</f>
        <v>$3.71</v>
      </c>
      <c r="E49" t="str">
        <f>PROPER(VLOOKUP($B49, Sheet2!$B:$I,E$3,0))</f>
        <v>0</v>
      </c>
      <c r="F49" t="str">
        <f>PROPER(VLOOKUP($B49, Sheet2!$B:$I,F$3,0))</f>
        <v>-0.016</v>
      </c>
      <c r="G49" t="str">
        <f>PROPER(VLOOKUP($B49, Sheet2!$B:$I,G$3,0))</f>
        <v>-0.035</v>
      </c>
      <c r="H49" t="str">
        <f>PROPER(VLOOKUP($B49, Sheet2!$B:$I,H$3,0))</f>
        <v>$1,070,512,836</v>
      </c>
      <c r="I49" t="str">
        <f>PROPER(VLOOKUP($B49, Sheet2!$B:$I,I$3,0))</f>
        <v>$3,592,730,879</v>
      </c>
      <c r="J49" t="str">
        <f t="shared" si="2"/>
        <v>3.71</v>
      </c>
      <c r="K49">
        <f t="shared" si="0"/>
        <v>-1.6</v>
      </c>
    </row>
    <row r="50" spans="1:11" ht="22" customHeight="1" x14ac:dyDescent="0.2">
      <c r="A50" s="29" t="str">
        <f t="shared" si="1"/>
        <v>SHIB</v>
      </c>
      <c r="B50" s="8">
        <v>46</v>
      </c>
      <c r="C50" t="str">
        <f>PROPER(VLOOKUP($B50, Sheet2!$B:$I,C$3,0))</f>
        <v>Shiba Inu (Shib)</v>
      </c>
      <c r="D50" t="str">
        <f>PROPER(VLOOKUP($B50, Sheet2!$B:$I,D$3,0))</f>
        <v>$0.000006971752</v>
      </c>
      <c r="E50" t="str">
        <f>PROPER(VLOOKUP($B50, Sheet2!$B:$I,E$3,0))</f>
        <v>0.001</v>
      </c>
      <c r="F50" t="str">
        <f>PROPER(VLOOKUP($B50, Sheet2!$B:$I,F$3,0))</f>
        <v>-0.024</v>
      </c>
      <c r="G50" t="str">
        <f>PROPER(VLOOKUP($B50, Sheet2!$B:$I,G$3,0))</f>
        <v>0.027</v>
      </c>
      <c r="H50" t="str">
        <f>PROPER(VLOOKUP($B50, Sheet2!$B:$I,H$3,0))</f>
        <v>$179,307,700</v>
      </c>
      <c r="I50" t="str">
        <f>PROPER(VLOOKUP($B50, Sheet2!$B:$I,I$3,0))</f>
        <v>$3,470,056,946</v>
      </c>
      <c r="J50" t="str">
        <f t="shared" si="2"/>
        <v>0.000006971752</v>
      </c>
      <c r="K50">
        <f t="shared" si="0"/>
        <v>-2.4</v>
      </c>
    </row>
    <row r="51" spans="1:11" ht="22" customHeight="1" x14ac:dyDescent="0.2">
      <c r="A51" s="29" t="str">
        <f t="shared" si="1"/>
        <v>AAVE</v>
      </c>
      <c r="B51" s="8">
        <v>47</v>
      </c>
      <c r="C51" t="str">
        <f>PROPER(VLOOKUP($B51, Sheet2!$B:$I,C$3,0))</f>
        <v>Aave (Aave)</v>
      </c>
      <c r="D51" t="str">
        <f>PROPER(VLOOKUP($B51, Sheet2!$B:$I,D$3,0))</f>
        <v>$262.72</v>
      </c>
      <c r="E51" t="str">
        <f>PROPER(VLOOKUP($B51, Sheet2!$B:$I,E$3,0))</f>
        <v>0.002</v>
      </c>
      <c r="F51" t="str">
        <f>PROPER(VLOOKUP($B51, Sheet2!$B:$I,F$3,0))</f>
        <v>-0.027</v>
      </c>
      <c r="G51" t="str">
        <f>PROPER(VLOOKUP($B51, Sheet2!$B:$I,G$3,0))</f>
        <v>-0.019</v>
      </c>
      <c r="H51" t="str">
        <f>PROPER(VLOOKUP($B51, Sheet2!$B:$I,H$3,0))</f>
        <v>$208,687,152</v>
      </c>
      <c r="I51" t="str">
        <f>PROPER(VLOOKUP($B51, Sheet2!$B:$I,I$3,0))</f>
        <v>$3,465,047,793</v>
      </c>
      <c r="J51" t="str">
        <f t="shared" si="2"/>
        <v>262.72</v>
      </c>
      <c r="K51">
        <f t="shared" si="0"/>
        <v>-2.7</v>
      </c>
    </row>
    <row r="52" spans="1:11" ht="22" customHeight="1" x14ac:dyDescent="0.2">
      <c r="A52" s="29" t="str">
        <f t="shared" si="1"/>
        <v>HBAR</v>
      </c>
      <c r="B52" s="8">
        <v>48</v>
      </c>
      <c r="C52" t="str">
        <f>PROPER(VLOOKUP($B52, Sheet2!$B:$I,C$3,0))</f>
        <v>Hedera Hashgraph (Hbar)</v>
      </c>
      <c r="D52" t="str">
        <f>PROPER(VLOOKUP($B52, Sheet2!$B:$I,D$3,0))</f>
        <v>$0.308674</v>
      </c>
      <c r="E52" t="str">
        <f>PROPER(VLOOKUP($B52, Sheet2!$B:$I,E$3,0))</f>
        <v>0.01</v>
      </c>
      <c r="F52" t="str">
        <f>PROPER(VLOOKUP($B52, Sheet2!$B:$I,F$3,0))</f>
        <v>-0.013</v>
      </c>
      <c r="G52" t="str">
        <f>PROPER(VLOOKUP($B52, Sheet2!$B:$I,G$3,0))</f>
        <v>0.017</v>
      </c>
      <c r="H52" t="str">
        <f>PROPER(VLOOKUP($B52, Sheet2!$B:$I,H$3,0))</f>
        <v>$133,191,055</v>
      </c>
      <c r="I52" t="str">
        <f>PROPER(VLOOKUP($B52, Sheet2!$B:$I,I$3,0))</f>
        <v>$3,175,913,316</v>
      </c>
      <c r="J52" t="str">
        <f t="shared" si="2"/>
        <v>0.308674</v>
      </c>
      <c r="K52">
        <f t="shared" si="0"/>
        <v>-1.3</v>
      </c>
    </row>
    <row r="53" spans="1:11" ht="22" customHeight="1" x14ac:dyDescent="0.2">
      <c r="A53" s="29" t="str">
        <f t="shared" si="1"/>
        <v>GRT</v>
      </c>
      <c r="B53" s="8">
        <v>49</v>
      </c>
      <c r="C53" t="str">
        <f>PROPER(VLOOKUP($B53, Sheet2!$B:$I,C$3,0))</f>
        <v>The Graph (Grt)</v>
      </c>
      <c r="D53" t="str">
        <f>PROPER(VLOOKUP($B53, Sheet2!$B:$I,D$3,0))</f>
        <v>$0.627468</v>
      </c>
      <c r="E53" t="str">
        <f>PROPER(VLOOKUP($B53, Sheet2!$B:$I,E$3,0))</f>
        <v>-0.002</v>
      </c>
      <c r="F53" t="str">
        <f>PROPER(VLOOKUP($B53, Sheet2!$B:$I,F$3,0))</f>
        <v>-0.023</v>
      </c>
      <c r="G53" t="str">
        <f>PROPER(VLOOKUP($B53, Sheet2!$B:$I,G$3,0))</f>
        <v>-0.037</v>
      </c>
      <c r="H53" t="str">
        <f>PROPER(VLOOKUP($B53, Sheet2!$B:$I,H$3,0))</f>
        <v>$81,275,284</v>
      </c>
      <c r="I53" t="str">
        <f>PROPER(VLOOKUP($B53, Sheet2!$B:$I,I$3,0))</f>
        <v>$3,116,519,707</v>
      </c>
      <c r="J53" t="str">
        <f t="shared" si="2"/>
        <v>0.627468</v>
      </c>
      <c r="K53">
        <f t="shared" si="0"/>
        <v>-2.2999999999999998</v>
      </c>
    </row>
    <row r="54" spans="1:11" ht="22" customHeight="1" x14ac:dyDescent="0.2">
      <c r="A54" s="29" t="str">
        <f t="shared" si="1"/>
        <v>NEAR</v>
      </c>
      <c r="B54" s="8">
        <v>50</v>
      </c>
      <c r="C54" t="str">
        <f>PROPER(VLOOKUP($B54, Sheet2!$B:$I,C$3,0))</f>
        <v>Near (Near)</v>
      </c>
      <c r="D54" t="str">
        <f>PROPER(VLOOKUP($B54, Sheet2!$B:$I,D$3,0))</f>
        <v>$6.53</v>
      </c>
      <c r="E54" t="str">
        <f>PROPER(VLOOKUP($B54, Sheet2!$B:$I,E$3,0))</f>
        <v>0.015</v>
      </c>
      <c r="F54" t="str">
        <f>PROPER(VLOOKUP($B54, Sheet2!$B:$I,F$3,0))</f>
        <v>-0.001</v>
      </c>
      <c r="G54" t="str">
        <f>PROPER(VLOOKUP($B54, Sheet2!$B:$I,G$3,0))</f>
        <v>-0.012</v>
      </c>
      <c r="H54" t="str">
        <f>PROPER(VLOOKUP($B54, Sheet2!$B:$I,H$3,0))</f>
        <v>$292,395,630</v>
      </c>
      <c r="I54" t="str">
        <f>PROPER(VLOOKUP($B54, Sheet2!$B:$I,I$3,0))</f>
        <v>$3,030,514,681</v>
      </c>
      <c r="J54" t="str">
        <f t="shared" si="2"/>
        <v>6.53</v>
      </c>
      <c r="K54">
        <f t="shared" si="0"/>
        <v>-0.1</v>
      </c>
    </row>
    <row r="55" spans="1:11" ht="22" customHeight="1" x14ac:dyDescent="0.2">
      <c r="A55" s="29" t="str">
        <f t="shared" si="1"/>
        <v>FTM</v>
      </c>
      <c r="B55" s="8">
        <v>51</v>
      </c>
      <c r="C55" t="str">
        <f>PROPER(VLOOKUP($B55, Sheet2!$B:$I,C$3,0))</f>
        <v>Fantom (Ftm)</v>
      </c>
      <c r="D55" t="str">
        <f>PROPER(VLOOKUP($B55, Sheet2!$B:$I,D$3,0))</f>
        <v>$1.17</v>
      </c>
      <c r="E55" t="str">
        <f>PROPER(VLOOKUP($B55, Sheet2!$B:$I,E$3,0))</f>
        <v>-0.006</v>
      </c>
      <c r="F55" t="str">
        <f>PROPER(VLOOKUP($B55, Sheet2!$B:$I,F$3,0))</f>
        <v>-0.036</v>
      </c>
      <c r="G55" t="str">
        <f>PROPER(VLOOKUP($B55, Sheet2!$B:$I,G$3,0))</f>
        <v>0.201</v>
      </c>
      <c r="H55" t="str">
        <f>PROPER(VLOOKUP($B55, Sheet2!$B:$I,H$3,0))</f>
        <v>$431,631,006</v>
      </c>
      <c r="I55" t="str">
        <f>PROPER(VLOOKUP($B55, Sheet2!$B:$I,I$3,0))</f>
        <v>$2,980,624,868</v>
      </c>
      <c r="J55" t="str">
        <f t="shared" si="2"/>
        <v>1.17</v>
      </c>
      <c r="K55">
        <f t="shared" si="0"/>
        <v>-3.5999999999999996</v>
      </c>
    </row>
    <row r="56" spans="1:11" ht="22" customHeight="1" x14ac:dyDescent="0.2">
      <c r="A56" s="29" t="str">
        <f t="shared" si="1"/>
        <v>MIOTA</v>
      </c>
      <c r="B56" s="8">
        <v>52</v>
      </c>
      <c r="C56" t="str">
        <f>PROPER(VLOOKUP($B56, Sheet2!$B:$I,C$3,0))</f>
        <v>Iota (Miota)</v>
      </c>
      <c r="D56" t="str">
        <f>PROPER(VLOOKUP($B56, Sheet2!$B:$I,D$3,0))</f>
        <v>$1.04</v>
      </c>
      <c r="E56" t="str">
        <f>PROPER(VLOOKUP($B56, Sheet2!$B:$I,E$3,0))</f>
        <v>0.004</v>
      </c>
      <c r="F56" t="str">
        <f>PROPER(VLOOKUP($B56, Sheet2!$B:$I,F$3,0))</f>
        <v>-0.041</v>
      </c>
      <c r="G56" t="str">
        <f>PROPER(VLOOKUP($B56, Sheet2!$B:$I,G$3,0))</f>
        <v>-0.145</v>
      </c>
      <c r="H56" t="str">
        <f>PROPER(VLOOKUP($B56, Sheet2!$B:$I,H$3,0))</f>
        <v>$110,220,377</v>
      </c>
      <c r="I56" t="str">
        <f>PROPER(VLOOKUP($B56, Sheet2!$B:$I,I$3,0))</f>
        <v>$2,869,030,906</v>
      </c>
      <c r="J56" t="str">
        <f t="shared" si="2"/>
        <v>1.04</v>
      </c>
      <c r="K56">
        <f t="shared" si="0"/>
        <v>-4.1000000000000005</v>
      </c>
    </row>
    <row r="57" spans="1:11" ht="22" customHeight="1" x14ac:dyDescent="0.2">
      <c r="A57" s="29" t="str">
        <f t="shared" si="1"/>
        <v>KSM</v>
      </c>
      <c r="B57" s="8">
        <v>53</v>
      </c>
      <c r="C57" t="str">
        <f>PROPER(VLOOKUP($B57, Sheet2!$B:$I,C$3,0))</f>
        <v>Kusama (Ksm)</v>
      </c>
      <c r="D57" t="str">
        <f>PROPER(VLOOKUP($B57, Sheet2!$B:$I,D$3,0))</f>
        <v>$317.18</v>
      </c>
      <c r="E57" t="str">
        <f>PROPER(VLOOKUP($B57, Sheet2!$B:$I,E$3,0))</f>
        <v>-0.006</v>
      </c>
      <c r="F57" t="str">
        <f>PROPER(VLOOKUP($B57, Sheet2!$B:$I,F$3,0))</f>
        <v>-0.018</v>
      </c>
      <c r="G57" t="str">
        <f>PROPER(VLOOKUP($B57, Sheet2!$B:$I,G$3,0))</f>
        <v>0.053</v>
      </c>
      <c r="H57" t="str">
        <f>PROPER(VLOOKUP($B57, Sheet2!$B:$I,H$3,0))</f>
        <v>$153,208,791</v>
      </c>
      <c r="I57" t="str">
        <f>PROPER(VLOOKUP($B57, Sheet2!$B:$I,I$3,0))</f>
        <v>$2,848,264,158</v>
      </c>
      <c r="J57" t="str">
        <f t="shared" si="2"/>
        <v>317.18</v>
      </c>
      <c r="K57">
        <f t="shared" si="0"/>
        <v>-1.7999999999999998</v>
      </c>
    </row>
    <row r="58" spans="1:11" ht="22" customHeight="1" x14ac:dyDescent="0.2">
      <c r="A58" s="29" t="str">
        <f t="shared" si="1"/>
        <v>LEO</v>
      </c>
      <c r="B58" s="8">
        <v>54</v>
      </c>
      <c r="C58" t="str">
        <f>PROPER(VLOOKUP($B58, Sheet2!$B:$I,C$3,0))</f>
        <v>Leo Token (Leo)</v>
      </c>
      <c r="D58" t="str">
        <f>PROPER(VLOOKUP($B58, Sheet2!$B:$I,D$3,0))</f>
        <v>$2.93</v>
      </c>
      <c r="E58" t="str">
        <f>PROPER(VLOOKUP($B58, Sheet2!$B:$I,E$3,0))</f>
        <v>0.006</v>
      </c>
      <c r="F58" t="str">
        <f>PROPER(VLOOKUP($B58, Sheet2!$B:$I,F$3,0))</f>
        <v>0.075</v>
      </c>
      <c r="G58" t="str">
        <f>PROPER(VLOOKUP($B58, Sheet2!$B:$I,G$3,0))</f>
        <v>-0.025</v>
      </c>
      <c r="H58" t="str">
        <f>PROPER(VLOOKUP($B58, Sheet2!$B:$I,H$3,0))</f>
        <v>$497,201</v>
      </c>
      <c r="I58" t="str">
        <f>PROPER(VLOOKUP($B58, Sheet2!$B:$I,I$3,0))</f>
        <v>$2,768,243,224</v>
      </c>
      <c r="J58" t="str">
        <f t="shared" si="2"/>
        <v>2.93</v>
      </c>
      <c r="K58">
        <f t="shared" si="0"/>
        <v>7.5</v>
      </c>
    </row>
    <row r="59" spans="1:11" ht="22" customHeight="1" x14ac:dyDescent="0.2">
      <c r="A59" s="29" t="str">
        <f t="shared" si="1"/>
        <v>UST</v>
      </c>
      <c r="B59" s="8">
        <v>55</v>
      </c>
      <c r="C59" t="str">
        <f>PROPER(VLOOKUP($B59, Sheet2!$B:$I,C$3,0))</f>
        <v>Terrausd (Ust)</v>
      </c>
      <c r="D59" t="str">
        <f>PROPER(VLOOKUP($B59, Sheet2!$B:$I,D$3,0))</f>
        <v>$1.00</v>
      </c>
      <c r="E59" t="str">
        <f>PROPER(VLOOKUP($B59, Sheet2!$B:$I,E$3,0))</f>
        <v>0.002</v>
      </c>
      <c r="F59" t="str">
        <f>PROPER(VLOOKUP($B59, Sheet2!$B:$I,F$3,0))</f>
        <v>0</v>
      </c>
      <c r="G59" t="str">
        <f>PROPER(VLOOKUP($B59, Sheet2!$B:$I,G$3,0))</f>
        <v>0.002</v>
      </c>
      <c r="H59" t="str">
        <f>PROPER(VLOOKUP($B59, Sheet2!$B:$I,H$3,0))</f>
        <v>$71,922,878</v>
      </c>
      <c r="I59" t="str">
        <f>PROPER(VLOOKUP($B59, Sheet2!$B:$I,I$3,0))</f>
        <v>$2,683,838,907</v>
      </c>
      <c r="J59" t="str">
        <f t="shared" si="2"/>
        <v>1.00</v>
      </c>
      <c r="K59">
        <f t="shared" si="0"/>
        <v>0</v>
      </c>
    </row>
    <row r="60" spans="1:11" ht="22" customHeight="1" x14ac:dyDescent="0.2">
      <c r="A60" s="29" t="str">
        <f t="shared" si="1"/>
        <v>NEO</v>
      </c>
      <c r="B60" s="8">
        <v>56</v>
      </c>
      <c r="C60" t="str">
        <f>PROPER(VLOOKUP($B60, Sheet2!$B:$I,C$3,0))</f>
        <v>Neo (Neo)</v>
      </c>
      <c r="D60" t="str">
        <f>PROPER(VLOOKUP($B60, Sheet2!$B:$I,D$3,0))</f>
        <v>$36.83</v>
      </c>
      <c r="E60" t="str">
        <f>PROPER(VLOOKUP($B60, Sheet2!$B:$I,E$3,0))</f>
        <v>-0.006</v>
      </c>
      <c r="F60" t="str">
        <f>PROPER(VLOOKUP($B60, Sheet2!$B:$I,F$3,0))</f>
        <v>0.002</v>
      </c>
      <c r="G60" t="str">
        <f>PROPER(VLOOKUP($B60, Sheet2!$B:$I,G$3,0))</f>
        <v>-0.006</v>
      </c>
      <c r="H60" t="str">
        <f>PROPER(VLOOKUP($B60, Sheet2!$B:$I,H$3,0))</f>
        <v>$276,377,146</v>
      </c>
      <c r="I60" t="str">
        <f>PROPER(VLOOKUP($B60, Sheet2!$B:$I,I$3,0))</f>
        <v>$2,598,324,223</v>
      </c>
      <c r="J60" t="str">
        <f t="shared" si="2"/>
        <v>36.83</v>
      </c>
      <c r="K60">
        <f t="shared" si="0"/>
        <v>0.2</v>
      </c>
    </row>
    <row r="61" spans="1:11" ht="22" customHeight="1" x14ac:dyDescent="0.2">
      <c r="A61" s="29" t="str">
        <f t="shared" si="1"/>
        <v>KLAY</v>
      </c>
      <c r="B61" s="8">
        <v>57</v>
      </c>
      <c r="C61" t="str">
        <f>PROPER(VLOOKUP($B61, Sheet2!$B:$I,C$3,0))</f>
        <v>Klaytn (Klay)</v>
      </c>
      <c r="D61" t="str">
        <f>PROPER(VLOOKUP($B61, Sheet2!$B:$I,D$3,0))</f>
        <v>$1.06</v>
      </c>
      <c r="E61" t="str">
        <f>PROPER(VLOOKUP($B61, Sheet2!$B:$I,E$3,0))</f>
        <v>0.022</v>
      </c>
      <c r="F61" t="str">
        <f>PROPER(VLOOKUP($B61, Sheet2!$B:$I,F$3,0))</f>
        <v>-0.023</v>
      </c>
      <c r="G61" t="str">
        <f>PROPER(VLOOKUP($B61, Sheet2!$B:$I,G$3,0))</f>
        <v>0.023</v>
      </c>
      <c r="H61" t="str">
        <f>PROPER(VLOOKUP($B61, Sheet2!$B:$I,H$3,0))</f>
        <v>$30,559,799</v>
      </c>
      <c r="I61" t="str">
        <f>PROPER(VLOOKUP($B61, Sheet2!$B:$I,I$3,0))</f>
        <v>$2,593,393,605</v>
      </c>
      <c r="J61" t="str">
        <f t="shared" si="2"/>
        <v>1.06</v>
      </c>
      <c r="K61">
        <f t="shared" si="0"/>
        <v>-2.2999999999999998</v>
      </c>
    </row>
    <row r="62" spans="1:11" ht="22" customHeight="1" x14ac:dyDescent="0.2">
      <c r="A62" s="29" t="str">
        <f t="shared" si="1"/>
        <v>AR</v>
      </c>
      <c r="B62" s="8">
        <v>58</v>
      </c>
      <c r="C62" t="str">
        <f>PROPER(VLOOKUP($B62, Sheet2!$B:$I,C$3,0))</f>
        <v>Arweave (Ar)</v>
      </c>
      <c r="D62" t="str">
        <f>PROPER(VLOOKUP($B62, Sheet2!$B:$I,D$3,0))</f>
        <v>$39.73</v>
      </c>
      <c r="E62" t="str">
        <f>PROPER(VLOOKUP($B62, Sheet2!$B:$I,E$3,0))</f>
        <v>0.008</v>
      </c>
      <c r="F62" t="str">
        <f>PROPER(VLOOKUP($B62, Sheet2!$B:$I,F$3,0))</f>
        <v>-0.004</v>
      </c>
      <c r="G62" t="str">
        <f>PROPER(VLOOKUP($B62, Sheet2!$B:$I,G$3,0))</f>
        <v>0.084</v>
      </c>
      <c r="H62" t="str">
        <f>PROPER(VLOOKUP($B62, Sheet2!$B:$I,H$3,0))</f>
        <v>$69,632,293</v>
      </c>
      <c r="I62" t="str">
        <f>PROPER(VLOOKUP($B62, Sheet2!$B:$I,I$3,0))</f>
        <v>$2,366,437,739</v>
      </c>
      <c r="J62" t="str">
        <f t="shared" si="2"/>
        <v>39.73</v>
      </c>
      <c r="K62">
        <f t="shared" si="0"/>
        <v>-0.4</v>
      </c>
    </row>
    <row r="63" spans="1:11" ht="22" customHeight="1" x14ac:dyDescent="0.2">
      <c r="A63" s="29" t="str">
        <f t="shared" si="1"/>
        <v>BSV</v>
      </c>
      <c r="B63" s="8">
        <v>59</v>
      </c>
      <c r="C63" t="str">
        <f>PROPER(VLOOKUP($B63, Sheet2!$B:$I,C$3,0))</f>
        <v>Bitcoin Sv (Bsv)</v>
      </c>
      <c r="D63" t="str">
        <f>PROPER(VLOOKUP($B63, Sheet2!$B:$I,D$3,0))</f>
        <v>$125.06</v>
      </c>
      <c r="E63" t="str">
        <f>PROPER(VLOOKUP($B63, Sheet2!$B:$I,E$3,0))</f>
        <v>-0.001</v>
      </c>
      <c r="F63" t="str">
        <f>PROPER(VLOOKUP($B63, Sheet2!$B:$I,F$3,0))</f>
        <v>-0.009</v>
      </c>
      <c r="G63" t="str">
        <f>PROPER(VLOOKUP($B63, Sheet2!$B:$I,G$3,0))</f>
        <v>-0.084</v>
      </c>
      <c r="H63" t="str">
        <f>PROPER(VLOOKUP($B63, Sheet2!$B:$I,H$3,0))</f>
        <v>$257,209,701</v>
      </c>
      <c r="I63" t="str">
        <f>PROPER(VLOOKUP($B63, Sheet2!$B:$I,I$3,0))</f>
        <v>$2,359,200,114</v>
      </c>
      <c r="J63" t="str">
        <f t="shared" si="2"/>
        <v>125.06</v>
      </c>
      <c r="K63">
        <f t="shared" si="0"/>
        <v>-0.89999999999999991</v>
      </c>
    </row>
    <row r="64" spans="1:11" ht="22" customHeight="1" x14ac:dyDescent="0.2">
      <c r="A64" s="29" t="str">
        <f t="shared" si="1"/>
        <v>WAVES</v>
      </c>
      <c r="B64" s="8">
        <v>60</v>
      </c>
      <c r="C64" t="str">
        <f>PROPER(VLOOKUP($B64, Sheet2!$B:$I,C$3,0))</f>
        <v>Waves (Waves)</v>
      </c>
      <c r="D64" t="str">
        <f>PROPER(VLOOKUP($B64, Sheet2!$B:$I,D$3,0))</f>
        <v>$23.07</v>
      </c>
      <c r="E64" t="str">
        <f>PROPER(VLOOKUP($B64, Sheet2!$B:$I,E$3,0))</f>
        <v>0.009</v>
      </c>
      <c r="F64" t="str">
        <f>PROPER(VLOOKUP($B64, Sheet2!$B:$I,F$3,0))</f>
        <v>-0.023</v>
      </c>
      <c r="G64" t="str">
        <f>PROPER(VLOOKUP($B64, Sheet2!$B:$I,G$3,0))</f>
        <v>0.04</v>
      </c>
      <c r="H64" t="str">
        <f>PROPER(VLOOKUP($B64, Sheet2!$B:$I,H$3,0))</f>
        <v>$155,222,903</v>
      </c>
      <c r="I64" t="str">
        <f>PROPER(VLOOKUP($B64, Sheet2!$B:$I,I$3,0))</f>
        <v>$2,307,976,326</v>
      </c>
      <c r="J64" t="str">
        <f t="shared" si="2"/>
        <v>23.07</v>
      </c>
      <c r="K64">
        <f t="shared" si="0"/>
        <v>-2.2999999999999998</v>
      </c>
    </row>
    <row r="65" spans="1:11" ht="22" customHeight="1" x14ac:dyDescent="0.2">
      <c r="A65" s="29" t="str">
        <f t="shared" si="1"/>
        <v>CEL</v>
      </c>
      <c r="B65" s="8">
        <v>61</v>
      </c>
      <c r="C65" t="str">
        <f>PROPER(VLOOKUP($B65, Sheet2!$B:$I,C$3,0))</f>
        <v>Celsius Network (Cel)</v>
      </c>
      <c r="D65" t="str">
        <f>PROPER(VLOOKUP($B65, Sheet2!$B:$I,D$3,0))</f>
        <v>$5.01</v>
      </c>
      <c r="E65" t="str">
        <f>PROPER(VLOOKUP($B65, Sheet2!$B:$I,E$3,0))</f>
        <v>0.002</v>
      </c>
      <c r="F65" t="str">
        <f>PROPER(VLOOKUP($B65, Sheet2!$B:$I,F$3,0))</f>
        <v>0.001</v>
      </c>
      <c r="G65" t="str">
        <f>PROPER(VLOOKUP($B65, Sheet2!$B:$I,G$3,0))</f>
        <v>0.001</v>
      </c>
      <c r="H65" t="str">
        <f>PROPER(VLOOKUP($B65, Sheet2!$B:$I,H$3,0))</f>
        <v>$9,754,697</v>
      </c>
      <c r="I65" t="str">
        <f>PROPER(VLOOKUP($B65, Sheet2!$B:$I,I$3,0))</f>
        <v>$2,122,649,915</v>
      </c>
      <c r="J65" t="str">
        <f t="shared" si="2"/>
        <v>5.01</v>
      </c>
      <c r="K65">
        <f t="shared" si="0"/>
        <v>0.1</v>
      </c>
    </row>
    <row r="66" spans="1:11" ht="22" customHeight="1" x14ac:dyDescent="0.2">
      <c r="A66" s="29" t="str">
        <f t="shared" si="1"/>
        <v>AMP</v>
      </c>
      <c r="B66" s="8">
        <v>62</v>
      </c>
      <c r="C66" t="str">
        <f>PROPER(VLOOKUP($B66, Sheet2!$B:$I,C$3,0))</f>
        <v>Amp (Amp)</v>
      </c>
      <c r="D66" t="str">
        <f>PROPER(VLOOKUP($B66, Sheet2!$B:$I,D$3,0))</f>
        <v>$0.043101064035</v>
      </c>
      <c r="E66" t="str">
        <f>PROPER(VLOOKUP($B66, Sheet2!$B:$I,E$3,0))</f>
        <v>-0.006</v>
      </c>
      <c r="F66" t="str">
        <f>PROPER(VLOOKUP($B66, Sheet2!$B:$I,F$3,0))</f>
        <v>-0.009</v>
      </c>
      <c r="G66" t="str">
        <f>PROPER(VLOOKUP($B66, Sheet2!$B:$I,G$3,0))</f>
        <v>0.041</v>
      </c>
      <c r="H66" t="str">
        <f>PROPER(VLOOKUP($B66, Sheet2!$B:$I,H$3,0))</f>
        <v>$9,950,694</v>
      </c>
      <c r="I66" t="str">
        <f>PROPER(VLOOKUP($B66, Sheet2!$B:$I,I$3,0))</f>
        <v>$2,069,451,425</v>
      </c>
      <c r="J66" t="str">
        <f t="shared" si="2"/>
        <v>0.043101064035</v>
      </c>
      <c r="K66">
        <f t="shared" si="0"/>
        <v>-0.89999999999999991</v>
      </c>
    </row>
    <row r="67" spans="1:11" ht="22" customHeight="1" x14ac:dyDescent="0.2">
      <c r="A67" s="29" t="str">
        <f t="shared" si="1"/>
        <v>BTT</v>
      </c>
      <c r="B67" s="8">
        <v>63</v>
      </c>
      <c r="C67" t="str">
        <f>PROPER(VLOOKUP($B67, Sheet2!$B:$I,C$3,0))</f>
        <v>Bittorrent (Btt)</v>
      </c>
      <c r="D67" t="str">
        <f>PROPER(VLOOKUP($B67, Sheet2!$B:$I,D$3,0))</f>
        <v>$0.003024705784</v>
      </c>
      <c r="E67" t="str">
        <f>PROPER(VLOOKUP($B67, Sheet2!$B:$I,E$3,0))</f>
        <v>-0.001</v>
      </c>
      <c r="F67" t="str">
        <f>PROPER(VLOOKUP($B67, Sheet2!$B:$I,F$3,0))</f>
        <v>-0.013</v>
      </c>
      <c r="G67" t="str">
        <f>PROPER(VLOOKUP($B67, Sheet2!$B:$I,G$3,0))</f>
        <v>-0.04</v>
      </c>
      <c r="H67" t="str">
        <f>PROPER(VLOOKUP($B67, Sheet2!$B:$I,H$3,0))</f>
        <v>$165,590,677</v>
      </c>
      <c r="I67" t="str">
        <f>PROPER(VLOOKUP($B67, Sheet2!$B:$I,I$3,0))</f>
        <v>$1,993,498,534</v>
      </c>
      <c r="J67" t="str">
        <f t="shared" si="2"/>
        <v>0.003024705784</v>
      </c>
      <c r="K67">
        <f t="shared" si="0"/>
        <v>-1.3</v>
      </c>
    </row>
    <row r="68" spans="1:11" ht="22" customHeight="1" x14ac:dyDescent="0.2">
      <c r="A68" s="29" t="str">
        <f t="shared" si="1"/>
        <v>MKR</v>
      </c>
      <c r="B68" s="8">
        <v>64</v>
      </c>
      <c r="C68" t="str">
        <f>PROPER(VLOOKUP($B68, Sheet2!$B:$I,C$3,0))</f>
        <v>Maker (Mkr)</v>
      </c>
      <c r="D68" t="str">
        <f>PROPER(VLOOKUP($B68, Sheet2!$B:$I,D$3,0))</f>
        <v>$2,211.18</v>
      </c>
      <c r="E68" t="str">
        <f>PROPER(VLOOKUP($B68, Sheet2!$B:$I,E$3,0))</f>
        <v>0.005</v>
      </c>
      <c r="F68" t="str">
        <f>PROPER(VLOOKUP($B68, Sheet2!$B:$I,F$3,0))</f>
        <v>-0.034</v>
      </c>
      <c r="G68" t="str">
        <f>PROPER(VLOOKUP($B68, Sheet2!$B:$I,G$3,0))</f>
        <v>-0.026</v>
      </c>
      <c r="H68" t="str">
        <f>PROPER(VLOOKUP($B68, Sheet2!$B:$I,H$3,0))</f>
        <v>$75,610,046</v>
      </c>
      <c r="I68" t="str">
        <f>PROPER(VLOOKUP($B68, Sheet2!$B:$I,I$3,0))</f>
        <v>$1,985,657,114</v>
      </c>
      <c r="J68" t="str">
        <f t="shared" si="2"/>
        <v>2,211.18</v>
      </c>
      <c r="K68">
        <f t="shared" si="0"/>
        <v>-3.4000000000000004</v>
      </c>
    </row>
    <row r="69" spans="1:11" ht="22" customHeight="1" x14ac:dyDescent="0.2">
      <c r="A69" s="29" t="str">
        <f t="shared" si="1"/>
        <v>COMP</v>
      </c>
      <c r="B69" s="8">
        <v>65</v>
      </c>
      <c r="C69" t="str">
        <f>PROPER(VLOOKUP($B69, Sheet2!$B:$I,C$3,0))</f>
        <v>Compound (Comp)</v>
      </c>
      <c r="D69" t="str">
        <f>PROPER(VLOOKUP($B69, Sheet2!$B:$I,D$3,0))</f>
        <v>$318.55</v>
      </c>
      <c r="E69" t="str">
        <f>PROPER(VLOOKUP($B69, Sheet2!$B:$I,E$3,0))</f>
        <v>0</v>
      </c>
      <c r="F69" t="str">
        <f>PROPER(VLOOKUP($B69, Sheet2!$B:$I,F$3,0))</f>
        <v>-0.028</v>
      </c>
      <c r="G69" t="str">
        <f>PROPER(VLOOKUP($B69, Sheet2!$B:$I,G$3,0))</f>
        <v>0.024</v>
      </c>
      <c r="H69" t="str">
        <f>PROPER(VLOOKUP($B69, Sheet2!$B:$I,H$3,0))</f>
        <v>$78,854,484</v>
      </c>
      <c r="I69" t="str">
        <f>PROPER(VLOOKUP($B69, Sheet2!$B:$I,I$3,0))</f>
        <v>$1,816,519,655</v>
      </c>
      <c r="J69" t="str">
        <f t="shared" si="2"/>
        <v>318.55</v>
      </c>
      <c r="K69">
        <f t="shared" ref="K69:K132" si="3">F69*100</f>
        <v>-2.8000000000000003</v>
      </c>
    </row>
    <row r="70" spans="1:11" ht="22" customHeight="1" x14ac:dyDescent="0.2">
      <c r="A70" s="29" t="str">
        <f t="shared" ref="A70:A133" si="4">UPPER(MID(LEFT(C70,FIND(")",C70)-1),FIND("(",C70)+1,LEN(C70)))</f>
        <v>SUSHI</v>
      </c>
      <c r="B70" s="8">
        <v>66</v>
      </c>
      <c r="C70" t="str">
        <f>PROPER(VLOOKUP($B70, Sheet2!$B:$I,C$3,0))</f>
        <v>Sushi (Sushi)</v>
      </c>
      <c r="D70" t="str">
        <f>PROPER(VLOOKUP($B70, Sheet2!$B:$I,D$3,0))</f>
        <v>$9.37</v>
      </c>
      <c r="E70" t="str">
        <f>PROPER(VLOOKUP($B70, Sheet2!$B:$I,E$3,0))</f>
        <v>0</v>
      </c>
      <c r="F70" t="str">
        <f>PROPER(VLOOKUP($B70, Sheet2!$B:$I,F$3,0))</f>
        <v>-0.055</v>
      </c>
      <c r="G70" t="str">
        <f>PROPER(VLOOKUP($B70, Sheet2!$B:$I,G$3,0))</f>
        <v>0.026</v>
      </c>
      <c r="H70" t="str">
        <f>PROPER(VLOOKUP($B70, Sheet2!$B:$I,H$3,0))</f>
        <v>$368,620,658</v>
      </c>
      <c r="I70" t="str">
        <f>PROPER(VLOOKUP($B70, Sheet2!$B:$I,I$3,0))</f>
        <v>$1,806,012,230</v>
      </c>
      <c r="J70" t="str">
        <f t="shared" ref="J70:J133" si="5">SUBSTITUTE(D70, "$", "")</f>
        <v>9.37</v>
      </c>
      <c r="K70">
        <f t="shared" si="3"/>
        <v>-5.5</v>
      </c>
    </row>
    <row r="71" spans="1:11" ht="22" customHeight="1" x14ac:dyDescent="0.2">
      <c r="A71" s="29" t="str">
        <f t="shared" si="4"/>
        <v>CELO</v>
      </c>
      <c r="B71" s="8">
        <v>67</v>
      </c>
      <c r="C71" t="str">
        <f>PROPER(VLOOKUP($B71, Sheet2!$B:$I,C$3,0))</f>
        <v>Celo (Celo)</v>
      </c>
      <c r="D71" t="str">
        <f>PROPER(VLOOKUP($B71, Sheet2!$B:$I,D$3,0))</f>
        <v>$5.62</v>
      </c>
      <c r="E71" t="str">
        <f>PROPER(VLOOKUP($B71, Sheet2!$B:$I,E$3,0))</f>
        <v>0.013</v>
      </c>
      <c r="F71" t="str">
        <f>PROPER(VLOOKUP($B71, Sheet2!$B:$I,F$3,0))</f>
        <v>-0.05</v>
      </c>
      <c r="G71" t="str">
        <f>PROPER(VLOOKUP($B71, Sheet2!$B:$I,G$3,0))</f>
        <v>-0.089</v>
      </c>
      <c r="H71" t="str">
        <f>PROPER(VLOOKUP($B71, Sheet2!$B:$I,H$3,0))</f>
        <v>$145,163,407</v>
      </c>
      <c r="I71" t="str">
        <f>PROPER(VLOOKUP($B71, Sheet2!$B:$I,I$3,0))</f>
        <v>$1,701,593,644</v>
      </c>
      <c r="J71" t="str">
        <f t="shared" si="5"/>
        <v>5.62</v>
      </c>
      <c r="K71">
        <f t="shared" si="3"/>
        <v>-5</v>
      </c>
    </row>
    <row r="72" spans="1:11" ht="22" customHeight="1" x14ac:dyDescent="0.2">
      <c r="A72" s="29" t="str">
        <f t="shared" si="4"/>
        <v>RUNE</v>
      </c>
      <c r="B72" s="8">
        <v>68</v>
      </c>
      <c r="C72" t="str">
        <f>PROPER(VLOOKUP($B72, Sheet2!$B:$I,C$3,0))</f>
        <v>Thorchain (Rune)</v>
      </c>
      <c r="D72" t="str">
        <f>PROPER(VLOOKUP($B72, Sheet2!$B:$I,D$3,0))</f>
        <v>$6.47</v>
      </c>
      <c r="E72" t="str">
        <f>PROPER(VLOOKUP($B72, Sheet2!$B:$I,E$3,0))</f>
        <v>0.003</v>
      </c>
      <c r="F72" t="str">
        <f>PROPER(VLOOKUP($B72, Sheet2!$B:$I,F$3,0))</f>
        <v>-0.042</v>
      </c>
      <c r="G72" t="str">
        <f>PROPER(VLOOKUP($B72, Sheet2!$B:$I,G$3,0))</f>
        <v>-0.033</v>
      </c>
      <c r="H72" t="str">
        <f>PROPER(VLOOKUP($B72, Sheet2!$B:$I,H$3,0))</f>
        <v>$50,432,301</v>
      </c>
      <c r="I72" t="str">
        <f>PROPER(VLOOKUP($B72, Sheet2!$B:$I,I$3,0))</f>
        <v>$1,693,602,050</v>
      </c>
      <c r="J72" t="str">
        <f t="shared" si="5"/>
        <v>6.47</v>
      </c>
      <c r="K72">
        <f t="shared" si="3"/>
        <v>-4.2</v>
      </c>
    </row>
    <row r="73" spans="1:11" ht="22" customHeight="1" x14ac:dyDescent="0.2">
      <c r="A73" s="29" t="str">
        <f t="shared" si="4"/>
        <v>HBTC</v>
      </c>
      <c r="B73" s="8">
        <v>69</v>
      </c>
      <c r="C73" t="str">
        <f>PROPER(VLOOKUP($B73, Sheet2!$B:$I,C$3,0))</f>
        <v>Huobi Btc (Hbtc)</v>
      </c>
      <c r="D73" t="str">
        <f>PROPER(VLOOKUP($B73, Sheet2!$B:$I,D$3,0))</f>
        <v>$41,284</v>
      </c>
      <c r="E73" t="str">
        <f>PROPER(VLOOKUP($B73, Sheet2!$B:$I,E$3,0))</f>
        <v>-0.003</v>
      </c>
      <c r="F73" t="str">
        <f>PROPER(VLOOKUP($B73, Sheet2!$B:$I,F$3,0))</f>
        <v>-0.019</v>
      </c>
      <c r="G73" t="str">
        <f>PROPER(VLOOKUP($B73, Sheet2!$B:$I,G$3,0))</f>
        <v>0.017</v>
      </c>
      <c r="H73" t="str">
        <f>PROPER(VLOOKUP($B73, Sheet2!$B:$I,H$3,0))</f>
        <v>$376,981</v>
      </c>
      <c r="I73" t="str">
        <f>PROPER(VLOOKUP($B73, Sheet2!$B:$I,I$3,0))</f>
        <v>$1,652,542,001</v>
      </c>
      <c r="J73" t="str">
        <f t="shared" si="5"/>
        <v>41,284</v>
      </c>
      <c r="K73">
        <f t="shared" si="3"/>
        <v>-1.9</v>
      </c>
    </row>
    <row r="74" spans="1:11" ht="22" customHeight="1" x14ac:dyDescent="0.2">
      <c r="A74" s="29" t="str">
        <f t="shared" si="4"/>
        <v>HNT</v>
      </c>
      <c r="B74" s="8">
        <v>70</v>
      </c>
      <c r="C74" t="str">
        <f>PROPER(VLOOKUP($B74, Sheet2!$B:$I,C$3,0))</f>
        <v>Helium (Hnt)</v>
      </c>
      <c r="D74" t="str">
        <f>PROPER(VLOOKUP($B74, Sheet2!$B:$I,D$3,0))</f>
        <v>$16.75</v>
      </c>
      <c r="E74" t="str">
        <f>PROPER(VLOOKUP($B74, Sheet2!$B:$I,E$3,0))</f>
        <v>-0.003</v>
      </c>
      <c r="F74" t="str">
        <f>PROPER(VLOOKUP($B74, Sheet2!$B:$I,F$3,0))</f>
        <v>-0.032</v>
      </c>
      <c r="G74" t="str">
        <f>PROPER(VLOOKUP($B74, Sheet2!$B:$I,G$3,0))</f>
        <v>0.003</v>
      </c>
      <c r="H74" t="str">
        <f>PROPER(VLOOKUP($B74, Sheet2!$B:$I,H$3,0))</f>
        <v>$17,792,571</v>
      </c>
      <c r="I74" t="str">
        <f>PROPER(VLOOKUP($B74, Sheet2!$B:$I,I$3,0))</f>
        <v>$1,631,730,688</v>
      </c>
      <c r="J74" t="str">
        <f t="shared" si="5"/>
        <v>16.75</v>
      </c>
      <c r="K74">
        <f t="shared" si="3"/>
        <v>-3.2</v>
      </c>
    </row>
    <row r="75" spans="1:11" ht="22" customHeight="1" x14ac:dyDescent="0.2">
      <c r="A75" s="29" t="str">
        <f t="shared" si="4"/>
        <v>SNX</v>
      </c>
      <c r="B75" s="8">
        <v>71</v>
      </c>
      <c r="C75" t="str">
        <f>PROPER(VLOOKUP($B75, Sheet2!$B:$I,C$3,0))</f>
        <v>Synthetix Network Token (Snx)</v>
      </c>
      <c r="D75" t="str">
        <f>PROPER(VLOOKUP($B75, Sheet2!$B:$I,D$3,0))</f>
        <v>$9.29</v>
      </c>
      <c r="E75" t="str">
        <f>PROPER(VLOOKUP($B75, Sheet2!$B:$I,E$3,0))</f>
        <v>-0.003</v>
      </c>
      <c r="F75" t="str">
        <f>PROPER(VLOOKUP($B75, Sheet2!$B:$I,F$3,0))</f>
        <v>-0.029</v>
      </c>
      <c r="G75" t="str">
        <f>PROPER(VLOOKUP($B75, Sheet2!$B:$I,G$3,0))</f>
        <v>-0.013</v>
      </c>
      <c r="H75" t="str">
        <f>PROPER(VLOOKUP($B75, Sheet2!$B:$I,H$3,0))</f>
        <v>$68,747,217</v>
      </c>
      <c r="I75" t="str">
        <f>PROPER(VLOOKUP($B75, Sheet2!$B:$I,I$3,0))</f>
        <v>$1,624,853,695</v>
      </c>
      <c r="J75" t="str">
        <f t="shared" si="5"/>
        <v>9.29</v>
      </c>
      <c r="K75">
        <f t="shared" si="3"/>
        <v>-2.9000000000000004</v>
      </c>
    </row>
    <row r="76" spans="1:11" ht="22" customHeight="1" x14ac:dyDescent="0.2">
      <c r="A76" s="29" t="str">
        <f t="shared" si="4"/>
        <v>DASH</v>
      </c>
      <c r="B76" s="8">
        <v>72</v>
      </c>
      <c r="C76" t="str">
        <f>PROPER(VLOOKUP($B76, Sheet2!$B:$I,C$3,0))</f>
        <v>Dash (Dash)</v>
      </c>
      <c r="D76" t="str">
        <f>PROPER(VLOOKUP($B76, Sheet2!$B:$I,D$3,0))</f>
        <v>$151.89</v>
      </c>
      <c r="E76" t="str">
        <f>PROPER(VLOOKUP($B76, Sheet2!$B:$I,E$3,0))</f>
        <v>-0.003</v>
      </c>
      <c r="F76" t="str">
        <f>PROPER(VLOOKUP($B76, Sheet2!$B:$I,F$3,0))</f>
        <v>0.009</v>
      </c>
      <c r="G76" t="str">
        <f>PROPER(VLOOKUP($B76, Sheet2!$B:$I,G$3,0))</f>
        <v>-0.026</v>
      </c>
      <c r="H76" t="str">
        <f>PROPER(VLOOKUP($B76, Sheet2!$B:$I,H$3,0))</f>
        <v>$333,295,344</v>
      </c>
      <c r="I76" t="str">
        <f>PROPER(VLOOKUP($B76, Sheet2!$B:$I,I$3,0))</f>
        <v>$1,573,981,228</v>
      </c>
      <c r="J76" t="str">
        <f t="shared" si="5"/>
        <v>151.89</v>
      </c>
      <c r="K76">
        <f t="shared" si="3"/>
        <v>0.89999999999999991</v>
      </c>
    </row>
    <row r="77" spans="1:11" ht="22" customHeight="1" x14ac:dyDescent="0.2">
      <c r="A77" s="29" t="str">
        <f t="shared" si="4"/>
        <v>XDC</v>
      </c>
      <c r="B77" s="8">
        <v>73</v>
      </c>
      <c r="C77" t="str">
        <f>PROPER(VLOOKUP($B77, Sheet2!$B:$I,C$3,0))</f>
        <v>Xdc Network (Xdc)</v>
      </c>
      <c r="D77" t="str">
        <f>PROPER(VLOOKUP($B77, Sheet2!$B:$I,D$3,0))</f>
        <v>$0.128071</v>
      </c>
      <c r="E77" t="str">
        <f>PROPER(VLOOKUP($B77, Sheet2!$B:$I,E$3,0))</f>
        <v>0.002</v>
      </c>
      <c r="F77" t="str">
        <f>PROPER(VLOOKUP($B77, Sheet2!$B:$I,F$3,0))</f>
        <v>-0.026</v>
      </c>
      <c r="G77" t="str">
        <f>PROPER(VLOOKUP($B77, Sheet2!$B:$I,G$3,0))</f>
        <v>0.132</v>
      </c>
      <c r="H77" t="str">
        <f>PROPER(VLOOKUP($B77, Sheet2!$B:$I,H$3,0))</f>
        <v>$8,882,294</v>
      </c>
      <c r="I77" t="str">
        <f>PROPER(VLOOKUP($B77, Sheet2!$B:$I,I$3,0))</f>
        <v>$1,564,349,981</v>
      </c>
      <c r="J77" t="str">
        <f t="shared" si="5"/>
        <v>0.128071</v>
      </c>
      <c r="K77">
        <f t="shared" si="3"/>
        <v>-2.6</v>
      </c>
    </row>
    <row r="78" spans="1:11" ht="22" customHeight="1" x14ac:dyDescent="0.2">
      <c r="A78" s="29" t="str">
        <f t="shared" si="4"/>
        <v>OHM</v>
      </c>
      <c r="B78" s="8">
        <v>74</v>
      </c>
      <c r="C78" t="str">
        <f>PROPER(VLOOKUP($B78, Sheet2!$B:$I,C$3,0))</f>
        <v>Olympus (Ohm)</v>
      </c>
      <c r="D78" t="str">
        <f>PROPER(VLOOKUP($B78, Sheet2!$B:$I,D$3,0))</f>
        <v>$722.78</v>
      </c>
      <c r="E78" t="str">
        <f>PROPER(VLOOKUP($B78, Sheet2!$B:$I,E$3,0))</f>
        <v>0.012</v>
      </c>
      <c r="F78" t="str">
        <f>PROPER(VLOOKUP($B78, Sheet2!$B:$I,F$3,0))</f>
        <v>0.131</v>
      </c>
      <c r="G78" t="str">
        <f>PROPER(VLOOKUP($B78, Sheet2!$B:$I,G$3,0))</f>
        <v>0.132</v>
      </c>
      <c r="H78" t="str">
        <f>PROPER(VLOOKUP($B78, Sheet2!$B:$I,H$3,0))</f>
        <v>$34,217,256</v>
      </c>
      <c r="I78" t="str">
        <f>PROPER(VLOOKUP($B78, Sheet2!$B:$I,I$3,0))</f>
        <v>$1,520,936,721</v>
      </c>
      <c r="J78" t="str">
        <f t="shared" si="5"/>
        <v>722.78</v>
      </c>
      <c r="K78">
        <f t="shared" si="3"/>
        <v>13.100000000000001</v>
      </c>
    </row>
    <row r="79" spans="1:11" ht="22" customHeight="1" x14ac:dyDescent="0.2">
      <c r="A79" s="29" t="str">
        <f t="shared" si="4"/>
        <v>DESO</v>
      </c>
      <c r="B79" s="8">
        <v>75</v>
      </c>
      <c r="C79" t="str">
        <f>PROPER(VLOOKUP($B79, Sheet2!$B:$I,C$3,0))</f>
        <v>Decentralized Social (Deso)</v>
      </c>
      <c r="D79" t="str">
        <f>PROPER(VLOOKUP($B79, Sheet2!$B:$I,D$3,0))</f>
        <v>$145.43</v>
      </c>
      <c r="E79" t="str">
        <f>PROPER(VLOOKUP($B79, Sheet2!$B:$I,E$3,0))</f>
        <v>0.008</v>
      </c>
      <c r="F79" t="str">
        <f>PROPER(VLOOKUP($B79, Sheet2!$B:$I,F$3,0))</f>
        <v>-0.061</v>
      </c>
      <c r="G79" t="str">
        <f>PROPER(VLOOKUP($B79, Sheet2!$B:$I,G$3,0))</f>
        <v>0.526</v>
      </c>
      <c r="H79" t="str">
        <f>PROPER(VLOOKUP($B79, Sheet2!$B:$I,H$3,0))</f>
        <v>$440,055</v>
      </c>
      <c r="I79" t="str">
        <f>PROPER(VLOOKUP($B79, Sheet2!$B:$I,I$3,0))</f>
        <v>$1,519,507,444</v>
      </c>
      <c r="J79" t="str">
        <f t="shared" si="5"/>
        <v>145.43</v>
      </c>
      <c r="K79">
        <f t="shared" si="3"/>
        <v>-6.1</v>
      </c>
    </row>
    <row r="80" spans="1:11" ht="22" customHeight="1" x14ac:dyDescent="0.2">
      <c r="A80" s="29" t="str">
        <f t="shared" si="4"/>
        <v>ONE</v>
      </c>
      <c r="B80" s="8">
        <v>76</v>
      </c>
      <c r="C80" t="str">
        <f>PROPER(VLOOKUP($B80, Sheet2!$B:$I,C$3,0))</f>
        <v>Harmony (One)</v>
      </c>
      <c r="D80" t="str">
        <f>PROPER(VLOOKUP($B80, Sheet2!$B:$I,D$3,0))</f>
        <v>$0.142072</v>
      </c>
      <c r="E80" t="str">
        <f>PROPER(VLOOKUP($B80, Sheet2!$B:$I,E$3,0))</f>
        <v>-0.007</v>
      </c>
      <c r="F80" t="str">
        <f>PROPER(VLOOKUP($B80, Sheet2!$B:$I,F$3,0))</f>
        <v>-0.057</v>
      </c>
      <c r="G80" t="str">
        <f>PROPER(VLOOKUP($B80, Sheet2!$B:$I,G$3,0))</f>
        <v>0.184</v>
      </c>
      <c r="H80" t="str">
        <f>PROPER(VLOOKUP($B80, Sheet2!$B:$I,H$3,0))</f>
        <v>$94,962,102</v>
      </c>
      <c r="I80" t="str">
        <f>PROPER(VLOOKUP($B80, Sheet2!$B:$I,I$3,0))</f>
        <v>$1,501,893,876</v>
      </c>
      <c r="J80" t="str">
        <f t="shared" si="5"/>
        <v>0.142072</v>
      </c>
      <c r="K80">
        <f t="shared" si="3"/>
        <v>-5.7</v>
      </c>
    </row>
    <row r="81" spans="1:11" ht="22" customHeight="1" x14ac:dyDescent="0.2">
      <c r="A81" s="29" t="str">
        <f t="shared" si="4"/>
        <v>OMG</v>
      </c>
      <c r="B81" s="8">
        <v>77</v>
      </c>
      <c r="C81" t="str">
        <f>PROPER(VLOOKUP($B81, Sheet2!$B:$I,C$3,0))</f>
        <v>Omg Network (Omg)</v>
      </c>
      <c r="D81" t="str">
        <f>PROPER(VLOOKUP($B81, Sheet2!$B:$I,D$3,0))</f>
        <v>$10.43</v>
      </c>
      <c r="E81" t="str">
        <f>PROPER(VLOOKUP($B81, Sheet2!$B:$I,E$3,0))</f>
        <v>0.037</v>
      </c>
      <c r="F81" t="str">
        <f>PROPER(VLOOKUP($B81, Sheet2!$B:$I,F$3,0))</f>
        <v>0.156</v>
      </c>
      <c r="G81" t="str">
        <f>PROPER(VLOOKUP($B81, Sheet2!$B:$I,G$3,0))</f>
        <v>0.216</v>
      </c>
      <c r="H81" t="str">
        <f>PROPER(VLOOKUP($B81, Sheet2!$B:$I,H$3,0))</f>
        <v>$1,137,742,088</v>
      </c>
      <c r="I81" t="str">
        <f>PROPER(VLOOKUP($B81, Sheet2!$B:$I,I$3,0))</f>
        <v>$1,462,683,832</v>
      </c>
      <c r="J81" t="str">
        <f t="shared" si="5"/>
        <v>10.43</v>
      </c>
      <c r="K81">
        <f t="shared" si="3"/>
        <v>15.6</v>
      </c>
    </row>
    <row r="82" spans="1:11" ht="22" customHeight="1" x14ac:dyDescent="0.2">
      <c r="A82" s="29" t="str">
        <f t="shared" si="4"/>
        <v>TUSD</v>
      </c>
      <c r="B82" s="8">
        <v>78</v>
      </c>
      <c r="C82" t="str">
        <f>PROPER(VLOOKUP($B82, Sheet2!$B:$I,C$3,0))</f>
        <v>Trueusd (Tusd)</v>
      </c>
      <c r="D82" t="str">
        <f>PROPER(VLOOKUP($B82, Sheet2!$B:$I,D$3,0))</f>
        <v>$1.00</v>
      </c>
      <c r="E82" t="str">
        <f>PROPER(VLOOKUP($B82, Sheet2!$B:$I,E$3,0))</f>
        <v>0.003</v>
      </c>
      <c r="F82" t="str">
        <f>PROPER(VLOOKUP($B82, Sheet2!$B:$I,F$3,0))</f>
        <v>0.001</v>
      </c>
      <c r="G82" t="str">
        <f>PROPER(VLOOKUP($B82, Sheet2!$B:$I,G$3,0))</f>
        <v>0.007</v>
      </c>
      <c r="H82" t="str">
        <f>PROPER(VLOOKUP($B82, Sheet2!$B:$I,H$3,0))</f>
        <v>$101,151,075</v>
      </c>
      <c r="I82" t="str">
        <f>PROPER(VLOOKUP($B82, Sheet2!$B:$I,I$3,0))</f>
        <v>$1,397,951,613</v>
      </c>
      <c r="J82" t="str">
        <f t="shared" si="5"/>
        <v>1.00</v>
      </c>
      <c r="K82">
        <f t="shared" si="3"/>
        <v>0.1</v>
      </c>
    </row>
    <row r="83" spans="1:11" ht="22" customHeight="1" x14ac:dyDescent="0.2">
      <c r="A83" s="29" t="str">
        <f t="shared" si="4"/>
        <v>TFUEL</v>
      </c>
      <c r="B83" s="8">
        <v>79</v>
      </c>
      <c r="C83" t="str">
        <f>PROPER(VLOOKUP($B83, Sheet2!$B:$I,C$3,0))</f>
        <v>Theta Fuel (Tfuel)</v>
      </c>
      <c r="D83" t="str">
        <f>PROPER(VLOOKUP($B83, Sheet2!$B:$I,D$3,0))</f>
        <v>$0.254343</v>
      </c>
      <c r="E83" t="str">
        <f>PROPER(VLOOKUP($B83, Sheet2!$B:$I,E$3,0))</f>
        <v>-0.002</v>
      </c>
      <c r="F83" t="str">
        <f>PROPER(VLOOKUP($B83, Sheet2!$B:$I,F$3,0))</f>
        <v>-0.019</v>
      </c>
      <c r="G83" t="str">
        <f>PROPER(VLOOKUP($B83, Sheet2!$B:$I,G$3,0))</f>
        <v>-0.023</v>
      </c>
      <c r="H83" t="str">
        <f>PROPER(VLOOKUP($B83, Sheet2!$B:$I,H$3,0))</f>
        <v>$16,455,702</v>
      </c>
      <c r="I83" t="str">
        <f>PROPER(VLOOKUP($B83, Sheet2!$B:$I,I$3,0))</f>
        <v>$1,387,036,129</v>
      </c>
      <c r="J83" t="str">
        <f t="shared" si="5"/>
        <v>0.254343</v>
      </c>
      <c r="K83">
        <f t="shared" si="3"/>
        <v>-1.9</v>
      </c>
    </row>
    <row r="84" spans="1:11" ht="22" customHeight="1" x14ac:dyDescent="0.2">
      <c r="A84" s="29" t="str">
        <f t="shared" si="4"/>
        <v>HOT</v>
      </c>
      <c r="B84" s="8">
        <v>80</v>
      </c>
      <c r="C84" t="str">
        <f>PROPER(VLOOKUP($B84, Sheet2!$B:$I,C$3,0))</f>
        <v>Holo (Hot)</v>
      </c>
      <c r="D84" t="str">
        <f>PROPER(VLOOKUP($B84, Sheet2!$B:$I,D$3,0))</f>
        <v>$0.007582544837</v>
      </c>
      <c r="E84" t="str">
        <f>PROPER(VLOOKUP($B84, Sheet2!$B:$I,E$3,0))</f>
        <v>-0.003</v>
      </c>
      <c r="F84" t="str">
        <f>PROPER(VLOOKUP($B84, Sheet2!$B:$I,F$3,0))</f>
        <v>-0.016</v>
      </c>
      <c r="G84" t="str">
        <f>PROPER(VLOOKUP($B84, Sheet2!$B:$I,G$3,0))</f>
        <v>-0.005</v>
      </c>
      <c r="H84" t="str">
        <f>PROPER(VLOOKUP($B84, Sheet2!$B:$I,H$3,0))</f>
        <v>$95,598,963</v>
      </c>
      <c r="I84" t="str">
        <f>PROPER(VLOOKUP($B84, Sheet2!$B:$I,I$3,0))</f>
        <v>$1,346,525,225</v>
      </c>
      <c r="J84" t="str">
        <f t="shared" si="5"/>
        <v>0.007582544837</v>
      </c>
      <c r="K84">
        <f t="shared" si="3"/>
        <v>-1.6</v>
      </c>
    </row>
    <row r="85" spans="1:11" ht="22" customHeight="1" x14ac:dyDescent="0.2">
      <c r="A85" s="29" t="str">
        <f t="shared" si="4"/>
        <v>CHZ</v>
      </c>
      <c r="B85" s="8">
        <v>81</v>
      </c>
      <c r="C85" t="str">
        <f>PROPER(VLOOKUP($B85, Sheet2!$B:$I,C$3,0))</f>
        <v>Chiliz (Chz)</v>
      </c>
      <c r="D85" t="str">
        <f>PROPER(VLOOKUP($B85, Sheet2!$B:$I,D$3,0))</f>
        <v>$0.246683</v>
      </c>
      <c r="E85" t="str">
        <f>PROPER(VLOOKUP($B85, Sheet2!$B:$I,E$3,0))</f>
        <v>-0.004</v>
      </c>
      <c r="F85" t="str">
        <f>PROPER(VLOOKUP($B85, Sheet2!$B:$I,F$3,0))</f>
        <v>-0.01</v>
      </c>
      <c r="G85" t="str">
        <f>PROPER(VLOOKUP($B85, Sheet2!$B:$I,G$3,0))</f>
        <v>-0.023</v>
      </c>
      <c r="H85" t="str">
        <f>PROPER(VLOOKUP($B85, Sheet2!$B:$I,H$3,0))</f>
        <v>$129,556,979</v>
      </c>
      <c r="I85" t="str">
        <f>PROPER(VLOOKUP($B85, Sheet2!$B:$I,I$3,0))</f>
        <v>$1,318,492,517</v>
      </c>
      <c r="J85" t="str">
        <f t="shared" si="5"/>
        <v>0.246683</v>
      </c>
      <c r="K85">
        <f t="shared" si="3"/>
        <v>-1</v>
      </c>
    </row>
    <row r="86" spans="1:11" ht="22" customHeight="1" x14ac:dyDescent="0.2">
      <c r="A86" s="29" t="str">
        <f t="shared" si="4"/>
        <v>DCR</v>
      </c>
      <c r="B86" s="8">
        <v>82</v>
      </c>
      <c r="C86" t="str">
        <f>PROPER(VLOOKUP($B86, Sheet2!$B:$I,C$3,0))</f>
        <v>Decred (Dcr)</v>
      </c>
      <c r="D86" t="str">
        <f>PROPER(VLOOKUP($B86, Sheet2!$B:$I,D$3,0))</f>
        <v>$98.51</v>
      </c>
      <c r="E86" t="str">
        <f>PROPER(VLOOKUP($B86, Sheet2!$B:$I,E$3,0))</f>
        <v>0.004</v>
      </c>
      <c r="F86" t="str">
        <f>PROPER(VLOOKUP($B86, Sheet2!$B:$I,F$3,0))</f>
        <v>-0.003</v>
      </c>
      <c r="G86" t="str">
        <f>PROPER(VLOOKUP($B86, Sheet2!$B:$I,G$3,0))</f>
        <v>-0.062</v>
      </c>
      <c r="H86" t="str">
        <f>PROPER(VLOOKUP($B86, Sheet2!$B:$I,H$3,0))</f>
        <v>$14,129,370</v>
      </c>
      <c r="I86" t="str">
        <f>PROPER(VLOOKUP($B86, Sheet2!$B:$I,I$3,0))</f>
        <v>$1,310,320,316</v>
      </c>
      <c r="J86" t="str">
        <f t="shared" si="5"/>
        <v>98.51</v>
      </c>
      <c r="K86">
        <f t="shared" si="3"/>
        <v>-0.3</v>
      </c>
    </row>
    <row r="87" spans="1:11" ht="22" customHeight="1" x14ac:dyDescent="0.2">
      <c r="A87" s="29" t="str">
        <f t="shared" si="4"/>
        <v>HT</v>
      </c>
      <c r="B87" s="8">
        <v>83</v>
      </c>
      <c r="C87" t="str">
        <f>PROPER(VLOOKUP($B87, Sheet2!$B:$I,C$3,0))</f>
        <v>Huobi Token (Ht)</v>
      </c>
      <c r="D87" t="str">
        <f>PROPER(VLOOKUP($B87, Sheet2!$B:$I,D$3,0))</f>
        <v>$7.85</v>
      </c>
      <c r="E87" t="str">
        <f>PROPER(VLOOKUP($B87, Sheet2!$B:$I,E$3,0))</f>
        <v>0.015</v>
      </c>
      <c r="F87" t="str">
        <f>PROPER(VLOOKUP($B87, Sheet2!$B:$I,F$3,0))</f>
        <v>0.03</v>
      </c>
      <c r="G87" t="str">
        <f>PROPER(VLOOKUP($B87, Sheet2!$B:$I,G$3,0))</f>
        <v>-0.31</v>
      </c>
      <c r="H87" t="str">
        <f>PROPER(VLOOKUP($B87, Sheet2!$B:$I,H$3,0))</f>
        <v>$122,256,288</v>
      </c>
      <c r="I87" t="str">
        <f>PROPER(VLOOKUP($B87, Sheet2!$B:$I,I$3,0))</f>
        <v>$1,268,692,267</v>
      </c>
      <c r="J87" t="str">
        <f t="shared" si="5"/>
        <v>7.85</v>
      </c>
      <c r="K87">
        <f t="shared" si="3"/>
        <v>3</v>
      </c>
    </row>
    <row r="88" spans="1:11" ht="22" customHeight="1" x14ac:dyDescent="0.2">
      <c r="A88" s="29" t="str">
        <f t="shared" si="4"/>
        <v>DYDX</v>
      </c>
      <c r="B88" s="8">
        <v>84</v>
      </c>
      <c r="C88" t="str">
        <f>PROPER(VLOOKUP($B88, Sheet2!$B:$I,C$3,0))</f>
        <v>Dydx (Dydx)</v>
      </c>
      <c r="D88" t="str">
        <f>PROPER(VLOOKUP($B88, Sheet2!$B:$I,D$3,0))</f>
        <v>$24.36</v>
      </c>
      <c r="E88" t="str">
        <f>PROPER(VLOOKUP($B88, Sheet2!$B:$I,E$3,0))</f>
        <v>-0.014</v>
      </c>
      <c r="F88" t="str">
        <f>PROPER(VLOOKUP($B88, Sheet2!$B:$I,F$3,0))</f>
        <v>0.107</v>
      </c>
      <c r="G88" t="str">
        <f>PROPER(VLOOKUP($B88, Sheet2!$B:$I,G$3,0))</f>
        <v>0.978</v>
      </c>
      <c r="H88" t="str">
        <f>PROPER(VLOOKUP($B88, Sheet2!$B:$I,H$3,0))</f>
        <v>$1,132,189,654</v>
      </c>
      <c r="I88" t="str">
        <f>PROPER(VLOOKUP($B88, Sheet2!$B:$I,I$3,0))</f>
        <v>$1,268,011,165</v>
      </c>
      <c r="J88" t="str">
        <f t="shared" si="5"/>
        <v>24.36</v>
      </c>
      <c r="K88">
        <f t="shared" si="3"/>
        <v>10.7</v>
      </c>
    </row>
    <row r="89" spans="1:11" ht="22" customHeight="1" x14ac:dyDescent="0.2">
      <c r="A89" s="29" t="str">
        <f t="shared" si="4"/>
        <v>XEM</v>
      </c>
      <c r="B89" s="8">
        <v>85</v>
      </c>
      <c r="C89" t="str">
        <f>PROPER(VLOOKUP($B89, Sheet2!$B:$I,C$3,0))</f>
        <v>Nem (Xem)</v>
      </c>
      <c r="D89" t="str">
        <f>PROPER(VLOOKUP($B89, Sheet2!$B:$I,D$3,0))</f>
        <v>$0.136854</v>
      </c>
      <c r="E89" t="str">
        <f>PROPER(VLOOKUP($B89, Sheet2!$B:$I,E$3,0))</f>
        <v>0.003</v>
      </c>
      <c r="F89" t="str">
        <f>PROPER(VLOOKUP($B89, Sheet2!$B:$I,F$3,0))</f>
        <v>-0.018</v>
      </c>
      <c r="G89" t="str">
        <f>PROPER(VLOOKUP($B89, Sheet2!$B:$I,G$3,0))</f>
        <v>-0.038</v>
      </c>
      <c r="H89" t="str">
        <f>PROPER(VLOOKUP($B89, Sheet2!$B:$I,H$3,0))</f>
        <v>$37,530,006</v>
      </c>
      <c r="I89" t="str">
        <f>PROPER(VLOOKUP($B89, Sheet2!$B:$I,I$3,0))</f>
        <v>$1,230,012,538</v>
      </c>
      <c r="J89" t="str">
        <f t="shared" si="5"/>
        <v>0.136854</v>
      </c>
      <c r="K89">
        <f t="shared" si="3"/>
        <v>-1.7999999999999998</v>
      </c>
    </row>
    <row r="90" spans="1:11" ht="22" customHeight="1" x14ac:dyDescent="0.2">
      <c r="A90" s="29" t="str">
        <f t="shared" si="4"/>
        <v>IOST</v>
      </c>
      <c r="B90" s="8">
        <v>86</v>
      </c>
      <c r="C90" t="str">
        <f>PROPER(VLOOKUP($B90, Sheet2!$B:$I,C$3,0))</f>
        <v>Iost (Iost)</v>
      </c>
      <c r="D90" t="str">
        <f>PROPER(VLOOKUP($B90, Sheet2!$B:$I,D$3,0))</f>
        <v>$0.053618930322</v>
      </c>
      <c r="E90" t="str">
        <f>PROPER(VLOOKUP($B90, Sheet2!$B:$I,E$3,0))</f>
        <v>-0.003</v>
      </c>
      <c r="F90" t="str">
        <f>PROPER(VLOOKUP($B90, Sheet2!$B:$I,F$3,0))</f>
        <v>-0.019</v>
      </c>
      <c r="G90" t="str">
        <f>PROPER(VLOOKUP($B90, Sheet2!$B:$I,G$3,0))</f>
        <v>0.018</v>
      </c>
      <c r="H90" t="str">
        <f>PROPER(VLOOKUP($B90, Sheet2!$B:$I,H$3,0))</f>
        <v>$277,352,792</v>
      </c>
      <c r="I90" t="str">
        <f>PROPER(VLOOKUP($B90, Sheet2!$B:$I,I$3,0))</f>
        <v>$1,221,558,938</v>
      </c>
      <c r="J90" t="str">
        <f t="shared" si="5"/>
        <v>0.053618930322</v>
      </c>
      <c r="K90">
        <f t="shared" si="3"/>
        <v>-1.9</v>
      </c>
    </row>
    <row r="91" spans="1:11" ht="22" customHeight="1" x14ac:dyDescent="0.2">
      <c r="A91" s="29" t="str">
        <f t="shared" si="4"/>
        <v>STX</v>
      </c>
      <c r="B91" s="8">
        <v>87</v>
      </c>
      <c r="C91" t="str">
        <f>PROPER(VLOOKUP($B91, Sheet2!$B:$I,C$3,0))</f>
        <v>Stacks (Stx)</v>
      </c>
      <c r="D91" t="str">
        <f>PROPER(VLOOKUP($B91, Sheet2!$B:$I,D$3,0))</f>
        <v>$1.14</v>
      </c>
      <c r="E91" t="str">
        <f>PROPER(VLOOKUP($B91, Sheet2!$B:$I,E$3,0))</f>
        <v>-0.008</v>
      </c>
      <c r="F91" t="str">
        <f>PROPER(VLOOKUP($B91, Sheet2!$B:$I,F$3,0))</f>
        <v>-0.016</v>
      </c>
      <c r="G91" t="str">
        <f>PROPER(VLOOKUP($B91, Sheet2!$B:$I,G$3,0))</f>
        <v>-0.06</v>
      </c>
      <c r="H91" t="str">
        <f>PROPER(VLOOKUP($B91, Sheet2!$B:$I,H$3,0))</f>
        <v>$17,132,476</v>
      </c>
      <c r="I91" t="str">
        <f>PROPER(VLOOKUP($B91, Sheet2!$B:$I,I$3,0))</f>
        <v>$1,195,083,338</v>
      </c>
      <c r="J91" t="str">
        <f t="shared" si="5"/>
        <v>1.14</v>
      </c>
      <c r="K91">
        <f t="shared" si="3"/>
        <v>-1.6</v>
      </c>
    </row>
    <row r="92" spans="1:11" ht="22" customHeight="1" x14ac:dyDescent="0.2">
      <c r="A92" s="29" t="str">
        <f t="shared" si="4"/>
        <v>ZEC</v>
      </c>
      <c r="B92" s="8">
        <v>88</v>
      </c>
      <c r="C92" t="str">
        <f>PROPER(VLOOKUP($B92, Sheet2!$B:$I,C$3,0))</f>
        <v>Zcash (Zec)</v>
      </c>
      <c r="D92" t="str">
        <f>PROPER(VLOOKUP($B92, Sheet2!$B:$I,D$3,0))</f>
        <v>$102.59</v>
      </c>
      <c r="E92" t="str">
        <f>PROPER(VLOOKUP($B92, Sheet2!$B:$I,E$3,0))</f>
        <v>-0.002</v>
      </c>
      <c r="F92" t="str">
        <f>PROPER(VLOOKUP($B92, Sheet2!$B:$I,F$3,0))</f>
        <v>-0.008</v>
      </c>
      <c r="G92" t="str">
        <f>PROPER(VLOOKUP($B92, Sheet2!$B:$I,G$3,0))</f>
        <v>-0.067</v>
      </c>
      <c r="H92" t="str">
        <f>PROPER(VLOOKUP($B92, Sheet2!$B:$I,H$3,0))</f>
        <v>$259,190,916</v>
      </c>
      <c r="I92" t="str">
        <f>PROPER(VLOOKUP($B92, Sheet2!$B:$I,I$3,0))</f>
        <v>$1,192,188,884</v>
      </c>
      <c r="J92" t="str">
        <f t="shared" si="5"/>
        <v>102.59</v>
      </c>
      <c r="K92">
        <f t="shared" si="3"/>
        <v>-0.8</v>
      </c>
    </row>
    <row r="93" spans="1:11" ht="22" customHeight="1" x14ac:dyDescent="0.2">
      <c r="A93" s="29" t="str">
        <f t="shared" si="4"/>
        <v>OMI</v>
      </c>
      <c r="B93" s="8">
        <v>89</v>
      </c>
      <c r="C93" t="str">
        <f>PROPER(VLOOKUP($B93, Sheet2!$B:$I,C$3,0))</f>
        <v>Ecomi (Omi)</v>
      </c>
      <c r="D93" t="str">
        <f>PROPER(VLOOKUP($B93, Sheet2!$B:$I,D$3,0))</f>
        <v>$0.005150369199</v>
      </c>
      <c r="E93" t="str">
        <f>PROPER(VLOOKUP($B93, Sheet2!$B:$I,E$3,0))</f>
        <v>-0.008</v>
      </c>
      <c r="F93" t="str">
        <f>PROPER(VLOOKUP($B93, Sheet2!$B:$I,F$3,0))</f>
        <v>-0.01</v>
      </c>
      <c r="G93" t="str">
        <f>PROPER(VLOOKUP($B93, Sheet2!$B:$I,G$3,0))</f>
        <v>-0.003</v>
      </c>
      <c r="H93" t="str">
        <f>PROPER(VLOOKUP($B93, Sheet2!$B:$I,H$3,0))</f>
        <v>$5,769,043</v>
      </c>
      <c r="I93" t="str">
        <f>PROPER(VLOOKUP($B93, Sheet2!$B:$I,I$3,0))</f>
        <v>$1,121,145,250</v>
      </c>
      <c r="J93" t="str">
        <f t="shared" si="5"/>
        <v>0.005150369199</v>
      </c>
      <c r="K93">
        <f t="shared" si="3"/>
        <v>-1</v>
      </c>
    </row>
    <row r="94" spans="1:11" ht="22" customHeight="1" x14ac:dyDescent="0.2">
      <c r="A94" s="29" t="str">
        <f t="shared" si="4"/>
        <v>ENJ</v>
      </c>
      <c r="B94" s="8">
        <v>90</v>
      </c>
      <c r="C94" t="str">
        <f>PROPER(VLOOKUP($B94, Sheet2!$B:$I,C$3,0))</f>
        <v>Enjin Coin (Enj)</v>
      </c>
      <c r="D94" t="str">
        <f>PROPER(VLOOKUP($B94, Sheet2!$B:$I,D$3,0))</f>
        <v>$1.21</v>
      </c>
      <c r="E94" t="str">
        <f>PROPER(VLOOKUP($B94, Sheet2!$B:$I,E$3,0))</f>
        <v>-0.002</v>
      </c>
      <c r="F94" t="str">
        <f>PROPER(VLOOKUP($B94, Sheet2!$B:$I,F$3,0))</f>
        <v>-0.02</v>
      </c>
      <c r="G94" t="str">
        <f>PROPER(VLOOKUP($B94, Sheet2!$B:$I,G$3,0))</f>
        <v>-0.003</v>
      </c>
      <c r="H94" t="str">
        <f>PROPER(VLOOKUP($B94, Sheet2!$B:$I,H$3,0))</f>
        <v>$52,713,719</v>
      </c>
      <c r="I94" t="str">
        <f>PROPER(VLOOKUP($B94, Sheet2!$B:$I,I$3,0))</f>
        <v>$1,128,330,979</v>
      </c>
      <c r="J94" t="str">
        <f t="shared" si="5"/>
        <v>1.21</v>
      </c>
      <c r="K94">
        <f t="shared" si="3"/>
        <v>-2</v>
      </c>
    </row>
    <row r="95" spans="1:11" ht="22" customHeight="1" x14ac:dyDescent="0.2">
      <c r="A95" s="29" t="str">
        <f t="shared" si="4"/>
        <v>ZIL</v>
      </c>
      <c r="B95" s="8">
        <v>91</v>
      </c>
      <c r="C95" t="str">
        <f>PROPER(VLOOKUP($B95, Sheet2!$B:$I,C$3,0))</f>
        <v>Zilliqa (Zil)</v>
      </c>
      <c r="D95" t="str">
        <f>PROPER(VLOOKUP($B95, Sheet2!$B:$I,D$3,0))</f>
        <v>$0.080447602708</v>
      </c>
      <c r="E95" t="str">
        <f>PROPER(VLOOKUP($B95, Sheet2!$B:$I,E$3,0))</f>
        <v>-0.021</v>
      </c>
      <c r="F95" t="str">
        <f>PROPER(VLOOKUP($B95, Sheet2!$B:$I,F$3,0))</f>
        <v>0.036</v>
      </c>
      <c r="G95" t="str">
        <f>PROPER(VLOOKUP($B95, Sheet2!$B:$I,G$3,0))</f>
        <v>-0.002</v>
      </c>
      <c r="H95" t="str">
        <f>PROPER(VLOOKUP($B95, Sheet2!$B:$I,H$3,0))</f>
        <v>$125,451,297</v>
      </c>
      <c r="I95" t="str">
        <f>PROPER(VLOOKUP($B95, Sheet2!$B:$I,I$3,0))</f>
        <v>$1,009,975,333</v>
      </c>
      <c r="J95" t="str">
        <f t="shared" si="5"/>
        <v>0.080447602708</v>
      </c>
      <c r="K95">
        <f t="shared" si="3"/>
        <v>3.5999999999999996</v>
      </c>
    </row>
    <row r="96" spans="1:11" ht="22" customHeight="1" x14ac:dyDescent="0.2">
      <c r="A96" s="29" t="str">
        <f t="shared" si="4"/>
        <v>USDP</v>
      </c>
      <c r="B96" s="8">
        <v>92</v>
      </c>
      <c r="C96" t="str">
        <f>PROPER(VLOOKUP($B96, Sheet2!$B:$I,C$3,0))</f>
        <v>Pax Dollar (Usdp)</v>
      </c>
      <c r="D96" t="str">
        <f>PROPER(VLOOKUP($B96, Sheet2!$B:$I,D$3,0))</f>
        <v>$1.00</v>
      </c>
      <c r="E96" t="str">
        <f>PROPER(VLOOKUP($B96, Sheet2!$B:$I,E$3,0))</f>
        <v>0.003</v>
      </c>
      <c r="F96" t="str">
        <f>PROPER(VLOOKUP($B96, Sheet2!$B:$I,F$3,0))</f>
        <v>0</v>
      </c>
      <c r="G96" t="str">
        <f>PROPER(VLOOKUP($B96, Sheet2!$B:$I,G$3,0))</f>
        <v>0.001</v>
      </c>
      <c r="H96" t="str">
        <f>PROPER(VLOOKUP($B96, Sheet2!$B:$I,H$3,0))</f>
        <v>$10,566,488</v>
      </c>
      <c r="I96" t="str">
        <f>PROPER(VLOOKUP($B96, Sheet2!$B:$I,I$3,0))</f>
        <v>$1,023,589,611</v>
      </c>
      <c r="J96" t="str">
        <f t="shared" si="5"/>
        <v>1.00</v>
      </c>
      <c r="K96">
        <f t="shared" si="3"/>
        <v>0</v>
      </c>
    </row>
    <row r="97" spans="1:11" ht="22" customHeight="1" x14ac:dyDescent="0.2">
      <c r="A97" s="29" t="str">
        <f t="shared" si="4"/>
        <v>YFI</v>
      </c>
      <c r="B97" s="8">
        <v>93</v>
      </c>
      <c r="C97" t="str">
        <f>PROPER(VLOOKUP($B97, Sheet2!$B:$I,C$3,0))</f>
        <v>Yearn.Finance (Yfi)</v>
      </c>
      <c r="D97" t="str">
        <f>PROPER(VLOOKUP($B97, Sheet2!$B:$I,D$3,0))</f>
        <v>$28,260</v>
      </c>
      <c r="E97" t="str">
        <f>PROPER(VLOOKUP($B97, Sheet2!$B:$I,E$3,0))</f>
        <v>0.001</v>
      </c>
      <c r="F97" t="str">
        <f>PROPER(VLOOKUP($B97, Sheet2!$B:$I,F$3,0))</f>
        <v>-0.023</v>
      </c>
      <c r="G97" t="str">
        <f>PROPER(VLOOKUP($B97, Sheet2!$B:$I,G$3,0))</f>
        <v>0.041</v>
      </c>
      <c r="H97" t="str">
        <f>PROPER(VLOOKUP($B97, Sheet2!$B:$I,H$3,0))</f>
        <v>$259,649,643</v>
      </c>
      <c r="I97" t="str">
        <f>PROPER(VLOOKUP($B97, Sheet2!$B:$I,I$3,0))</f>
        <v>$1,008,832,517</v>
      </c>
      <c r="J97" t="str">
        <f t="shared" si="5"/>
        <v>28,260</v>
      </c>
      <c r="K97">
        <f t="shared" si="3"/>
        <v>-2.2999999999999998</v>
      </c>
    </row>
    <row r="98" spans="1:11" ht="22" customHeight="1" x14ac:dyDescent="0.2">
      <c r="A98" s="29" t="str">
        <f t="shared" si="4"/>
        <v>FLOW</v>
      </c>
      <c r="B98" s="8">
        <v>94</v>
      </c>
      <c r="C98" t="str">
        <f>PROPER(VLOOKUP($B98, Sheet2!$B:$I,C$3,0))</f>
        <v>Flow (Flow)</v>
      </c>
      <c r="D98" t="str">
        <f>PROPER(VLOOKUP($B98, Sheet2!$B:$I,D$3,0))</f>
        <v>$14.99</v>
      </c>
      <c r="E98" t="str">
        <f>PROPER(VLOOKUP($B98, Sheet2!$B:$I,E$3,0))</f>
        <v>-0.007</v>
      </c>
      <c r="F98" t="str">
        <f>PROPER(VLOOKUP($B98, Sheet2!$B:$I,F$3,0))</f>
        <v>-0.036</v>
      </c>
      <c r="G98" t="str">
        <f>PROPER(VLOOKUP($B98, Sheet2!$B:$I,G$3,0))</f>
        <v>-0.035</v>
      </c>
      <c r="H98" t="str">
        <f>PROPER(VLOOKUP($B98, Sheet2!$B:$I,H$3,0))</f>
        <v>$27,666,555</v>
      </c>
      <c r="I98" t="str">
        <f>PROPER(VLOOKUP($B98, Sheet2!$B:$I,I$3,0))</f>
        <v>$992,128,564</v>
      </c>
      <c r="J98" t="str">
        <f t="shared" si="5"/>
        <v>14.99</v>
      </c>
      <c r="K98">
        <f t="shared" si="3"/>
        <v>-3.5999999999999996</v>
      </c>
    </row>
    <row r="99" spans="1:11" ht="22" customHeight="1" x14ac:dyDescent="0.2">
      <c r="A99" s="29" t="str">
        <f t="shared" si="4"/>
        <v>MINA</v>
      </c>
      <c r="B99" s="8">
        <v>95</v>
      </c>
      <c r="C99" t="str">
        <f>PROPER(VLOOKUP($B99, Sheet2!$B:$I,C$3,0))</f>
        <v>Mina Protocol (Mina)</v>
      </c>
      <c r="D99" t="str">
        <f>PROPER(VLOOKUP($B99, Sheet2!$B:$I,D$3,0))</f>
        <v>$3.93</v>
      </c>
      <c r="E99" t="str">
        <f>PROPER(VLOOKUP($B99, Sheet2!$B:$I,E$3,0))</f>
        <v>-0.001</v>
      </c>
      <c r="F99" t="str">
        <f>PROPER(VLOOKUP($B99, Sheet2!$B:$I,F$3,0))</f>
        <v>-0.025</v>
      </c>
      <c r="G99" t="str">
        <f>PROPER(VLOOKUP($B99, Sheet2!$B:$I,G$3,0))</f>
        <v>-0.056</v>
      </c>
      <c r="H99" t="str">
        <f>PROPER(VLOOKUP($B99, Sheet2!$B:$I,H$3,0))</f>
        <v>$50,537,972</v>
      </c>
      <c r="I99" t="str">
        <f>PROPER(VLOOKUP($B99, Sheet2!$B:$I,I$3,0))</f>
        <v>$985,834,715</v>
      </c>
      <c r="J99" t="str">
        <f t="shared" si="5"/>
        <v>3.93</v>
      </c>
      <c r="K99">
        <f t="shared" si="3"/>
        <v>-2.5</v>
      </c>
    </row>
    <row r="100" spans="1:11" ht="22" customHeight="1" x14ac:dyDescent="0.2">
      <c r="A100" s="29" t="str">
        <f t="shared" si="4"/>
        <v>ICX</v>
      </c>
      <c r="B100" s="8">
        <v>96</v>
      </c>
      <c r="C100" t="str">
        <f>PROPER(VLOOKUP($B100, Sheet2!$B:$I,C$3,0))</f>
        <v>Icon (Icx)</v>
      </c>
      <c r="D100" t="str">
        <f>PROPER(VLOOKUP($B100, Sheet2!$B:$I,D$3,0))</f>
        <v>$1.41</v>
      </c>
      <c r="E100" t="str">
        <f>PROPER(VLOOKUP($B100, Sheet2!$B:$I,E$3,0))</f>
        <v>0.002</v>
      </c>
      <c r="F100" t="str">
        <f>PROPER(VLOOKUP($B100, Sheet2!$B:$I,F$3,0))</f>
        <v>-0.027</v>
      </c>
      <c r="G100" t="str">
        <f>PROPER(VLOOKUP($B100, Sheet2!$B:$I,G$3,0))</f>
        <v>-0.033</v>
      </c>
      <c r="H100" t="str">
        <f>PROPER(VLOOKUP($B100, Sheet2!$B:$I,H$3,0))</f>
        <v>$48,969,879</v>
      </c>
      <c r="I100" t="str">
        <f>PROPER(VLOOKUP($B100, Sheet2!$B:$I,I$3,0))</f>
        <v>$947,482,988</v>
      </c>
      <c r="J100" t="str">
        <f t="shared" si="5"/>
        <v>1.41</v>
      </c>
      <c r="K100">
        <f t="shared" si="3"/>
        <v>-2.7</v>
      </c>
    </row>
    <row r="101" spans="1:11" ht="22" customHeight="1" x14ac:dyDescent="0.2">
      <c r="A101" s="29" t="str">
        <f t="shared" si="4"/>
        <v>SRM</v>
      </c>
      <c r="B101" s="8">
        <v>97</v>
      </c>
      <c r="C101" t="str">
        <f>PROPER(VLOOKUP($B101, Sheet2!$B:$I,C$3,0))</f>
        <v>Serum (Srm)</v>
      </c>
      <c r="D101" t="str">
        <f>PROPER(VLOOKUP($B101, Sheet2!$B:$I,D$3,0))</f>
        <v>$6.89</v>
      </c>
      <c r="E101" t="str">
        <f>PROPER(VLOOKUP($B101, Sheet2!$B:$I,E$3,0))</f>
        <v>-0.007</v>
      </c>
      <c r="F101" t="str">
        <f>PROPER(VLOOKUP($B101, Sheet2!$B:$I,F$3,0))</f>
        <v>-0.03</v>
      </c>
      <c r="G101" t="str">
        <f>PROPER(VLOOKUP($B101, Sheet2!$B:$I,G$3,0))</f>
        <v>-0.028</v>
      </c>
      <c r="H101" t="str">
        <f>PROPER(VLOOKUP($B101, Sheet2!$B:$I,H$3,0))</f>
        <v>$145,429,521</v>
      </c>
      <c r="I101" t="str">
        <f>PROPER(VLOOKUP($B101, Sheet2!$B:$I,I$3,0))</f>
        <v>$917,396,902</v>
      </c>
      <c r="J101" t="str">
        <f t="shared" si="5"/>
        <v>6.89</v>
      </c>
      <c r="K101">
        <f t="shared" si="3"/>
        <v>-3</v>
      </c>
    </row>
    <row r="102" spans="1:11" ht="22" customHeight="1" x14ac:dyDescent="0.2">
      <c r="A102" s="29" t="str">
        <f t="shared" si="4"/>
        <v>OSMO</v>
      </c>
      <c r="B102" s="8">
        <v>98</v>
      </c>
      <c r="C102" t="str">
        <f>PROPER(VLOOKUP($B102, Sheet2!$B:$I,C$3,0))</f>
        <v>Osmosis (Osmo)</v>
      </c>
      <c r="D102" t="str">
        <f>PROPER(VLOOKUP($B102, Sheet2!$B:$I,D$3,0))</f>
        <v>$4.94</v>
      </c>
      <c r="E102" t="str">
        <f>PROPER(VLOOKUP($B102, Sheet2!$B:$I,E$3,0))</f>
        <v>-0.009</v>
      </c>
      <c r="F102" t="str">
        <f>PROPER(VLOOKUP($B102, Sheet2!$B:$I,F$3,0))</f>
        <v>-0.068</v>
      </c>
      <c r="G102" t="str">
        <f>PROPER(VLOOKUP($B102, Sheet2!$B:$I,G$3,0))</f>
        <v>-0.005</v>
      </c>
      <c r="H102" t="str">
        <f>PROPER(VLOOKUP($B102, Sheet2!$B:$I,H$3,0))</f>
        <v>$4,336,768</v>
      </c>
      <c r="I102" t="str">
        <f>PROPER(VLOOKUP($B102, Sheet2!$B:$I,I$3,0))</f>
        <v>$916,487,020</v>
      </c>
      <c r="J102" t="str">
        <f t="shared" si="5"/>
        <v>4.94</v>
      </c>
      <c r="K102">
        <f t="shared" si="3"/>
        <v>-6.8000000000000007</v>
      </c>
    </row>
    <row r="103" spans="1:11" ht="22" customHeight="1" x14ac:dyDescent="0.2">
      <c r="A103" s="29" t="str">
        <f t="shared" si="4"/>
        <v>QTUM</v>
      </c>
      <c r="B103" s="8">
        <v>99</v>
      </c>
      <c r="C103" t="str">
        <f>PROPER(VLOOKUP($B103, Sheet2!$B:$I,C$3,0))</f>
        <v>Qtum (Qtum)</v>
      </c>
      <c r="D103" t="str">
        <f>PROPER(VLOOKUP($B103, Sheet2!$B:$I,D$3,0))</f>
        <v>$8.80</v>
      </c>
      <c r="E103" t="str">
        <f>PROPER(VLOOKUP($B103, Sheet2!$B:$I,E$3,0))</f>
        <v>0.002</v>
      </c>
      <c r="F103" t="str">
        <f>PROPER(VLOOKUP($B103, Sheet2!$B:$I,F$3,0))</f>
        <v>-0.017</v>
      </c>
      <c r="G103" t="str">
        <f>PROPER(VLOOKUP($B103, Sheet2!$B:$I,G$3,0))</f>
        <v>-0.042</v>
      </c>
      <c r="H103" t="str">
        <f>PROPER(VLOOKUP($B103, Sheet2!$B:$I,H$3,0))</f>
        <v>$192,293,523</v>
      </c>
      <c r="I103" t="str">
        <f>PROPER(VLOOKUP($B103, Sheet2!$B:$I,I$3,0))</f>
        <v>$911,821,053</v>
      </c>
      <c r="J103" t="str">
        <f t="shared" si="5"/>
        <v>8.80</v>
      </c>
      <c r="K103">
        <f t="shared" si="3"/>
        <v>-1.7000000000000002</v>
      </c>
    </row>
    <row r="104" spans="1:11" ht="22" customHeight="1" x14ac:dyDescent="0.2">
      <c r="A104" s="29" t="str">
        <f t="shared" si="4"/>
        <v>RVN</v>
      </c>
      <c r="B104" s="8">
        <v>100</v>
      </c>
      <c r="C104" t="str">
        <f>PROPER(VLOOKUP($B104, Sheet2!$B:$I,C$3,0))</f>
        <v>Ravencoin (Rvn)</v>
      </c>
      <c r="D104" t="str">
        <f>PROPER(VLOOKUP($B104, Sheet2!$B:$I,D$3,0))</f>
        <v>$0.090975903665</v>
      </c>
      <c r="E104" t="str">
        <f>PROPER(VLOOKUP($B104, Sheet2!$B:$I,E$3,0))</f>
        <v>-0.003</v>
      </c>
      <c r="F104" t="str">
        <f>PROPER(VLOOKUP($B104, Sheet2!$B:$I,F$3,0))</f>
        <v>-0.034</v>
      </c>
      <c r="G104" t="str">
        <f>PROPER(VLOOKUP($B104, Sheet2!$B:$I,G$3,0))</f>
        <v>0.024</v>
      </c>
      <c r="H104" t="str">
        <f>PROPER(VLOOKUP($B104, Sheet2!$B:$I,H$3,0))</f>
        <v>$35,986,447</v>
      </c>
      <c r="I104" t="str">
        <f>PROPER(VLOOKUP($B104, Sheet2!$B:$I,I$3,0))</f>
        <v>$893,099,591</v>
      </c>
      <c r="J104" t="str">
        <f t="shared" si="5"/>
        <v>0.090975903665</v>
      </c>
      <c r="K104">
        <f t="shared" si="3"/>
        <v>-3.4000000000000004</v>
      </c>
    </row>
    <row r="105" spans="1:11" ht="22" customHeight="1" x14ac:dyDescent="0.2">
      <c r="A105" s="29" t="str">
        <f t="shared" si="4"/>
        <v>CRV</v>
      </c>
      <c r="B105" s="8">
        <v>101</v>
      </c>
      <c r="C105" t="str">
        <f>PROPER(VLOOKUP($B105, Sheet3!$B:$I,C$3,0))</f>
        <v>Curve Dao Token (Crv)</v>
      </c>
      <c r="D105" t="str">
        <f>PROPER(VLOOKUP($B105, Sheet3!$B:$I,D$3,0))</f>
        <v>$2.24</v>
      </c>
      <c r="E105" t="str">
        <f>PROPER(VLOOKUP($B105, Sheet3!$B:$I,E$3,0))</f>
        <v>0.001</v>
      </c>
      <c r="F105" t="str">
        <f>PROPER(VLOOKUP($B105, Sheet3!$B:$I,F$3,0))</f>
        <v>-0.027</v>
      </c>
      <c r="G105" t="str">
        <f>PROPER(VLOOKUP($B105, Sheet3!$B:$I,G$3,0))</f>
        <v>0.03</v>
      </c>
      <c r="H105" t="str">
        <f>PROPER(VLOOKUP($B105, Sheet3!$B:$I,H$3,0))</f>
        <v>$186,871,939</v>
      </c>
      <c r="I105" t="str">
        <f>PROPER(VLOOKUP($B105, Sheet3!$B:$I,I$3,0))</f>
        <v>$887,441,259</v>
      </c>
      <c r="J105" t="str">
        <f t="shared" si="5"/>
        <v>2.24</v>
      </c>
      <c r="K105">
        <f t="shared" si="3"/>
        <v>-2.7</v>
      </c>
    </row>
    <row r="106" spans="1:11" ht="22" customHeight="1" x14ac:dyDescent="0.2">
      <c r="A106" s="29" t="str">
        <f t="shared" si="4"/>
        <v>MIM</v>
      </c>
      <c r="B106" s="8">
        <v>102</v>
      </c>
      <c r="C106" t="str">
        <f>PROPER(VLOOKUP($B106, Sheet3!$B:$I,C$3,0))</f>
        <v>Magic Internet Money (Mim)</v>
      </c>
      <c r="D106" t="str">
        <f>PROPER(VLOOKUP($B106, Sheet3!$B:$I,D$3,0))</f>
        <v>$0.999259</v>
      </c>
      <c r="E106" t="str">
        <f>PROPER(VLOOKUP($B106, Sheet3!$B:$I,E$3,0))</f>
        <v>-0.002</v>
      </c>
      <c r="F106" t="str">
        <f>PROPER(VLOOKUP($B106, Sheet3!$B:$I,F$3,0))</f>
        <v>-0.004</v>
      </c>
      <c r="G106" t="str">
        <f>PROPER(VLOOKUP($B106, Sheet3!$B:$I,G$3,0))</f>
        <v>0.005</v>
      </c>
      <c r="H106" t="str">
        <f>PROPER(VLOOKUP($B106, Sheet3!$B:$I,H$3,0))</f>
        <v>$10,708,298</v>
      </c>
      <c r="I106" t="str">
        <f>PROPER(VLOOKUP($B106, Sheet3!$B:$I,I$3,0))</f>
        <v>$879,365,570</v>
      </c>
      <c r="J106" t="str">
        <f t="shared" si="5"/>
        <v>0.999259</v>
      </c>
      <c r="K106">
        <f t="shared" si="3"/>
        <v>-0.4</v>
      </c>
    </row>
    <row r="107" spans="1:11" ht="22" customHeight="1" x14ac:dyDescent="0.2">
      <c r="A107" s="29" t="str">
        <f t="shared" si="4"/>
        <v>BAT</v>
      </c>
      <c r="B107" s="8">
        <v>103</v>
      </c>
      <c r="C107" t="str">
        <f>PROPER(VLOOKUP($B107, Sheet3!$B:$I,C$3,0))</f>
        <v>Basic Attention Token (Bat)</v>
      </c>
      <c r="D107" t="str">
        <f>PROPER(VLOOKUP($B107, Sheet3!$B:$I,D$3,0))</f>
        <v>$0.586584</v>
      </c>
      <c r="E107" t="str">
        <f>PROPER(VLOOKUP($B107, Sheet3!$B:$I,E$3,0))</f>
        <v>0.001</v>
      </c>
      <c r="F107" t="str">
        <f>PROPER(VLOOKUP($B107, Sheet3!$B:$I,F$3,0))</f>
        <v>-0.012</v>
      </c>
      <c r="G107" t="str">
        <f>PROPER(VLOOKUP($B107, Sheet3!$B:$I,G$3,0))</f>
        <v>-0.026</v>
      </c>
      <c r="H107" t="str">
        <f>PROPER(VLOOKUP($B107, Sheet3!$B:$I,H$3,0))</f>
        <v>$82,303,973</v>
      </c>
      <c r="I107" t="str">
        <f>PROPER(VLOOKUP($B107, Sheet3!$B:$I,I$3,0))</f>
        <v>$874,702,491</v>
      </c>
      <c r="J107" t="str">
        <f t="shared" si="5"/>
        <v>0.586584</v>
      </c>
      <c r="K107">
        <f t="shared" si="3"/>
        <v>-1.2</v>
      </c>
    </row>
    <row r="108" spans="1:11" ht="22" customHeight="1" x14ac:dyDescent="0.2">
      <c r="A108" s="29" t="str">
        <f t="shared" si="4"/>
        <v>BTG</v>
      </c>
      <c r="B108" s="8">
        <v>104</v>
      </c>
      <c r="C108" t="str">
        <f>PROPER(VLOOKUP($B108, Sheet3!$B:$I,C$3,0))</f>
        <v>Bitcoin Gold (Btg)</v>
      </c>
      <c r="D108" t="str">
        <f>PROPER(VLOOKUP($B108, Sheet3!$B:$I,D$3,0))</f>
        <v>$50.19</v>
      </c>
      <c r="E108" t="str">
        <f>PROPER(VLOOKUP($B108, Sheet3!$B:$I,E$3,0))</f>
        <v>0.015</v>
      </c>
      <c r="F108" t="str">
        <f>PROPER(VLOOKUP($B108, Sheet3!$B:$I,F$3,0))</f>
        <v>-0.005</v>
      </c>
      <c r="G108" t="str">
        <f>PROPER(VLOOKUP($B108, Sheet3!$B:$I,G$3,0))</f>
        <v>-0.036</v>
      </c>
      <c r="H108" t="str">
        <f>PROPER(VLOOKUP($B108, Sheet3!$B:$I,H$3,0))</f>
        <v>$28,927,812</v>
      </c>
      <c r="I108" t="str">
        <f>PROPER(VLOOKUP($B108, Sheet3!$B:$I,I$3,0))</f>
        <v>$867,699,218</v>
      </c>
      <c r="J108" t="str">
        <f t="shared" si="5"/>
        <v>50.19</v>
      </c>
      <c r="K108">
        <f t="shared" si="3"/>
        <v>-0.5</v>
      </c>
    </row>
    <row r="109" spans="1:11" ht="22" customHeight="1" x14ac:dyDescent="0.2">
      <c r="A109" s="29" t="str">
        <f t="shared" si="4"/>
        <v>MANA</v>
      </c>
      <c r="B109" s="8">
        <v>105</v>
      </c>
      <c r="C109" t="str">
        <f>PROPER(VLOOKUP($B109, Sheet3!$B:$I,C$3,0))</f>
        <v>Decentraland (Mana)</v>
      </c>
      <c r="D109" t="str">
        <f>PROPER(VLOOKUP($B109, Sheet3!$B:$I,D$3,0))</f>
        <v>$0.647819</v>
      </c>
      <c r="E109" t="str">
        <f>PROPER(VLOOKUP($B109, Sheet3!$B:$I,E$3,0))</f>
        <v>0.013</v>
      </c>
      <c r="F109" t="str">
        <f>PROPER(VLOOKUP($B109, Sheet3!$B:$I,F$3,0))</f>
        <v>0.023</v>
      </c>
      <c r="G109" t="str">
        <f>PROPER(VLOOKUP($B109, Sheet3!$B:$I,G$3,0))</f>
        <v>0.059</v>
      </c>
      <c r="H109" t="str">
        <f>PROPER(VLOOKUP($B109, Sheet3!$B:$I,H$3,0))</f>
        <v>$71,368,687</v>
      </c>
      <c r="I109" t="str">
        <f>PROPER(VLOOKUP($B109, Sheet3!$B:$I,I$3,0))</f>
        <v>$860,480,365</v>
      </c>
      <c r="J109" t="str">
        <f t="shared" si="5"/>
        <v>0.647819</v>
      </c>
      <c r="K109">
        <f t="shared" si="3"/>
        <v>2.2999999999999998</v>
      </c>
    </row>
    <row r="110" spans="1:11" ht="22" customHeight="1" x14ac:dyDescent="0.2">
      <c r="A110" s="29" t="str">
        <f t="shared" si="4"/>
        <v>TEL</v>
      </c>
      <c r="B110" s="8">
        <v>106</v>
      </c>
      <c r="C110" t="str">
        <f>PROPER(VLOOKUP($B110, Sheet3!$B:$I,C$3,0))</f>
        <v>Telcoin (Tel)</v>
      </c>
      <c r="D110" t="str">
        <f>PROPER(VLOOKUP($B110, Sheet3!$B:$I,D$3,0))</f>
        <v>$0.014746225228</v>
      </c>
      <c r="E110" t="str">
        <f>PROPER(VLOOKUP($B110, Sheet3!$B:$I,E$3,0))</f>
        <v>0.006</v>
      </c>
      <c r="F110" t="str">
        <f>PROPER(VLOOKUP($B110, Sheet3!$B:$I,F$3,0))</f>
        <v>-0.014</v>
      </c>
      <c r="G110" t="str">
        <f>PROPER(VLOOKUP($B110, Sheet3!$B:$I,G$3,0))</f>
        <v>0.032</v>
      </c>
      <c r="H110" t="str">
        <f>PROPER(VLOOKUP($B110, Sheet3!$B:$I,H$3,0))</f>
        <v>$7,267,736</v>
      </c>
      <c r="I110" t="str">
        <f>PROPER(VLOOKUP($B110, Sheet3!$B:$I,I$3,0))</f>
        <v>$844,802,497</v>
      </c>
      <c r="J110" t="str">
        <f t="shared" si="5"/>
        <v>0.014746225228</v>
      </c>
      <c r="K110">
        <f t="shared" si="3"/>
        <v>-1.4000000000000001</v>
      </c>
    </row>
    <row r="111" spans="1:11" ht="22" customHeight="1" x14ac:dyDescent="0.2">
      <c r="A111" s="29" t="str">
        <f t="shared" si="4"/>
        <v>CELR</v>
      </c>
      <c r="B111" s="8">
        <v>107</v>
      </c>
      <c r="C111" t="str">
        <f>PROPER(VLOOKUP($B111, Sheet3!$B:$I,C$3,0))</f>
        <v>Celer Network (Celr)</v>
      </c>
      <c r="D111" t="str">
        <f>PROPER(VLOOKUP($B111, Sheet3!$B:$I,D$3,0))</f>
        <v>$0.143890</v>
      </c>
      <c r="E111" t="str">
        <f>PROPER(VLOOKUP($B111, Sheet3!$B:$I,E$3,0))</f>
        <v>-0.004</v>
      </c>
      <c r="F111" t="str">
        <f>PROPER(VLOOKUP($B111, Sheet3!$B:$I,F$3,0))</f>
        <v>-0.127</v>
      </c>
      <c r="G111" t="str">
        <f>PROPER(VLOOKUP($B111, Sheet3!$B:$I,G$3,0))</f>
        <v>0.749</v>
      </c>
      <c r="H111" t="str">
        <f>PROPER(VLOOKUP($B111, Sheet3!$B:$I,H$3,0))</f>
        <v>$357,720,823</v>
      </c>
      <c r="I111" t="str">
        <f>PROPER(VLOOKUP($B111, Sheet3!$B:$I,I$3,0))</f>
        <v>$812,591,219</v>
      </c>
      <c r="J111" t="str">
        <f t="shared" si="5"/>
        <v>0.143890</v>
      </c>
      <c r="K111">
        <f t="shared" si="3"/>
        <v>-12.7</v>
      </c>
    </row>
    <row r="112" spans="1:11" ht="22" customHeight="1" x14ac:dyDescent="0.2">
      <c r="A112" s="29" t="str">
        <f t="shared" si="4"/>
        <v>REN</v>
      </c>
      <c r="B112" s="8">
        <v>108</v>
      </c>
      <c r="C112" t="str">
        <f>PROPER(VLOOKUP($B112, Sheet3!$B:$I,C$3,0))</f>
        <v>Ren (Ren)</v>
      </c>
      <c r="D112" t="str">
        <f>PROPER(VLOOKUP($B112, Sheet3!$B:$I,D$3,0))</f>
        <v>$0.907770</v>
      </c>
      <c r="E112" t="str">
        <f>PROPER(VLOOKUP($B112, Sheet3!$B:$I,E$3,0))</f>
        <v>0.005</v>
      </c>
      <c r="F112" t="str">
        <f>PROPER(VLOOKUP($B112, Sheet3!$B:$I,F$3,0))</f>
        <v>-0.057</v>
      </c>
      <c r="G112" t="str">
        <f>PROPER(VLOOKUP($B112, Sheet3!$B:$I,G$3,0))</f>
        <v>0.287</v>
      </c>
      <c r="H112" t="str">
        <f>PROPER(VLOOKUP($B112, Sheet3!$B:$I,H$3,0))</f>
        <v>$116,234,905</v>
      </c>
      <c r="I112" t="str">
        <f>PROPER(VLOOKUP($B112, Sheet3!$B:$I,I$3,0))</f>
        <v>$797,932,413</v>
      </c>
      <c r="J112" t="str">
        <f t="shared" si="5"/>
        <v>0.907770</v>
      </c>
      <c r="K112">
        <f t="shared" si="3"/>
        <v>-5.7</v>
      </c>
    </row>
    <row r="113" spans="1:11" ht="22" customHeight="1" x14ac:dyDescent="0.2">
      <c r="A113" s="29" t="str">
        <f t="shared" si="4"/>
        <v>AUDIO</v>
      </c>
      <c r="B113" s="8">
        <v>109</v>
      </c>
      <c r="C113" t="str">
        <f>PROPER(VLOOKUP($B113, Sheet3!$B:$I,C$3,0))</f>
        <v>Audius (Audio)</v>
      </c>
      <c r="D113" t="str">
        <f>PROPER(VLOOKUP($B113, Sheet3!$B:$I,D$3,0))</f>
        <v>$1.93</v>
      </c>
      <c r="E113" t="str">
        <f>PROPER(VLOOKUP($B113, Sheet3!$B:$I,E$3,0))</f>
        <v>-0.005</v>
      </c>
      <c r="F113" t="str">
        <f>PROPER(VLOOKUP($B113, Sheet3!$B:$I,F$3,0))</f>
        <v>-0.022</v>
      </c>
      <c r="G113" t="str">
        <f>PROPER(VLOOKUP($B113, Sheet3!$B:$I,G$3,0))</f>
        <v>-0.024</v>
      </c>
      <c r="H113" t="str">
        <f>PROPER(VLOOKUP($B113, Sheet3!$B:$I,H$3,0))</f>
        <v>$14,419,358</v>
      </c>
      <c r="I113" t="str">
        <f>PROPER(VLOOKUP($B113, Sheet3!$B:$I,I$3,0))</f>
        <v>$784,756,622</v>
      </c>
      <c r="J113" t="str">
        <f t="shared" si="5"/>
        <v>1.93</v>
      </c>
      <c r="K113">
        <f t="shared" si="3"/>
        <v>-2.1999999999999997</v>
      </c>
    </row>
    <row r="114" spans="1:11" ht="22" customHeight="1" x14ac:dyDescent="0.2">
      <c r="A114" s="29" t="str">
        <f t="shared" si="4"/>
        <v>SAFEMOON</v>
      </c>
      <c r="B114" s="8">
        <v>110</v>
      </c>
      <c r="C114" t="str">
        <f>PROPER(VLOOKUP($B114, Sheet3!$B:$I,C$3,0))</f>
        <v>Safemoon (Safemoon)</v>
      </c>
      <c r="D114" t="str">
        <f>PROPER(VLOOKUP($B114, Sheet3!$B:$I,D$3,0))</f>
        <v>$0.000001355406</v>
      </c>
      <c r="E114" t="str">
        <f>PROPER(VLOOKUP($B114, Sheet3!$B:$I,E$3,0))</f>
        <v>-0.012</v>
      </c>
      <c r="F114" t="str">
        <f>PROPER(VLOOKUP($B114, Sheet3!$B:$I,F$3,0))</f>
        <v>0.163</v>
      </c>
      <c r="G114" t="str">
        <f>PROPER(VLOOKUP($B114, Sheet3!$B:$I,G$3,0))</f>
        <v>0.008</v>
      </c>
      <c r="H114" t="str">
        <f>PROPER(VLOOKUP($B114, Sheet3!$B:$I,H$3,0))</f>
        <v>$7,668,336</v>
      </c>
      <c r="I114" t="str">
        <f>PROPER(VLOOKUP($B114, Sheet3!$B:$I,I$3,0))</f>
        <v>$779,188,373</v>
      </c>
      <c r="J114" t="str">
        <f t="shared" si="5"/>
        <v>0.000001355406</v>
      </c>
      <c r="K114">
        <f t="shared" si="3"/>
        <v>16.3</v>
      </c>
    </row>
    <row r="115" spans="1:11" ht="22" customHeight="1" x14ac:dyDescent="0.2">
      <c r="A115" s="29" t="str">
        <f t="shared" si="4"/>
        <v>PERP</v>
      </c>
      <c r="B115" s="8">
        <v>111</v>
      </c>
      <c r="C115" t="str">
        <f>PROPER(VLOOKUP($B115, Sheet3!$B:$I,C$3,0))</f>
        <v>Perpetual Protocol (Perp)</v>
      </c>
      <c r="D115" t="str">
        <f>PROPER(VLOOKUP($B115, Sheet3!$B:$I,D$3,0))</f>
        <v>$14.26</v>
      </c>
      <c r="E115" t="str">
        <f>PROPER(VLOOKUP($B115, Sheet3!$B:$I,E$3,0))</f>
        <v>0.01</v>
      </c>
      <c r="F115" t="str">
        <f>PROPER(VLOOKUP($B115, Sheet3!$B:$I,F$3,0))</f>
        <v>0.005</v>
      </c>
      <c r="G115" t="str">
        <f>PROPER(VLOOKUP($B115, Sheet3!$B:$I,G$3,0))</f>
        <v>0.304</v>
      </c>
      <c r="H115" t="str">
        <f>PROPER(VLOOKUP($B115, Sheet3!$B:$I,H$3,0))</f>
        <v>$105,637,145</v>
      </c>
      <c r="I115" t="str">
        <f>PROPER(VLOOKUP($B115, Sheet3!$B:$I,I$3,0))</f>
        <v>$778,311,567</v>
      </c>
      <c r="J115" t="str">
        <f t="shared" si="5"/>
        <v>14.26</v>
      </c>
      <c r="K115">
        <f t="shared" si="3"/>
        <v>0.5</v>
      </c>
    </row>
    <row r="116" spans="1:11" ht="22" customHeight="1" x14ac:dyDescent="0.2">
      <c r="A116" s="29" t="str">
        <f t="shared" si="4"/>
        <v>NEXO</v>
      </c>
      <c r="B116" s="8">
        <v>112</v>
      </c>
      <c r="C116" t="str">
        <f>PROPER(VLOOKUP($B116, Sheet3!$B:$I,C$3,0))</f>
        <v>Nexo (Nexo)</v>
      </c>
      <c r="D116" t="str">
        <f>PROPER(VLOOKUP($B116, Sheet3!$B:$I,D$3,0))</f>
        <v>$1.37</v>
      </c>
      <c r="E116" t="str">
        <f>PROPER(VLOOKUP($B116, Sheet3!$B:$I,E$3,0))</f>
        <v>-0.006</v>
      </c>
      <c r="F116" t="str">
        <f>PROPER(VLOOKUP($B116, Sheet3!$B:$I,F$3,0))</f>
        <v>-0.036</v>
      </c>
      <c r="G116" t="str">
        <f>PROPER(VLOOKUP($B116, Sheet3!$B:$I,G$3,0))</f>
        <v>0.025</v>
      </c>
      <c r="H116" t="str">
        <f>PROPER(VLOOKUP($B116, Sheet3!$B:$I,H$3,0))</f>
        <v>$7,152,771</v>
      </c>
      <c r="I116" t="str">
        <f>PROPER(VLOOKUP($B116, Sheet3!$B:$I,I$3,0))</f>
        <v>$766,961,196</v>
      </c>
      <c r="J116" t="str">
        <f t="shared" si="5"/>
        <v>1.37</v>
      </c>
      <c r="K116">
        <f t="shared" si="3"/>
        <v>-3.5999999999999996</v>
      </c>
    </row>
    <row r="117" spans="1:11" ht="22" customHeight="1" x14ac:dyDescent="0.2">
      <c r="A117" s="29" t="str">
        <f t="shared" si="4"/>
        <v>KCS</v>
      </c>
      <c r="B117" s="8">
        <v>113</v>
      </c>
      <c r="C117" t="str">
        <f>PROPER(VLOOKUP($B117, Sheet3!$B:$I,C$3,0))</f>
        <v>Kucoin Token (Kcs)</v>
      </c>
      <c r="D117" t="str">
        <f>PROPER(VLOOKUP($B117, Sheet3!$B:$I,D$3,0))</f>
        <v>$9.90</v>
      </c>
      <c r="E117" t="str">
        <f>PROPER(VLOOKUP($B117, Sheet3!$B:$I,E$3,0))</f>
        <v>-0.002</v>
      </c>
      <c r="F117" t="str">
        <f>PROPER(VLOOKUP($B117, Sheet3!$B:$I,F$3,0))</f>
        <v>-0.007</v>
      </c>
      <c r="G117" t="str">
        <f>PROPER(VLOOKUP($B117, Sheet3!$B:$I,G$3,0))</f>
        <v>0.058</v>
      </c>
      <c r="H117" t="str">
        <f>PROPER(VLOOKUP($B117, Sheet3!$B:$I,H$3,0))</f>
        <v>$7,074,303</v>
      </c>
      <c r="I117" t="str">
        <f>PROPER(VLOOKUP($B117, Sheet3!$B:$I,I$3,0))</f>
        <v>$770,807,339</v>
      </c>
      <c r="J117" t="str">
        <f t="shared" si="5"/>
        <v>9.90</v>
      </c>
      <c r="K117">
        <f t="shared" si="3"/>
        <v>-0.70000000000000007</v>
      </c>
    </row>
    <row r="118" spans="1:11" ht="22" customHeight="1" x14ac:dyDescent="0.2">
      <c r="A118" s="29" t="str">
        <f t="shared" si="4"/>
        <v>BNT</v>
      </c>
      <c r="B118" s="8">
        <v>114</v>
      </c>
      <c r="C118" t="str">
        <f>PROPER(VLOOKUP($B118, Sheet3!$B:$I,C$3,0))</f>
        <v>Bancor Network Token (Bnt)</v>
      </c>
      <c r="D118" t="str">
        <f>PROPER(VLOOKUP($B118, Sheet3!$B:$I,D$3,0))</f>
        <v>$3.29</v>
      </c>
      <c r="E118" t="str">
        <f>PROPER(VLOOKUP($B118, Sheet3!$B:$I,E$3,0))</f>
        <v>-0.003</v>
      </c>
      <c r="F118" t="str">
        <f>PROPER(VLOOKUP($B118, Sheet3!$B:$I,F$3,0))</f>
        <v>-0.016</v>
      </c>
      <c r="G118" t="str">
        <f>PROPER(VLOOKUP($B118, Sheet3!$B:$I,G$3,0))</f>
        <v>0.009</v>
      </c>
      <c r="H118" t="str">
        <f>PROPER(VLOOKUP($B118, Sheet3!$B:$I,H$3,0))</f>
        <v>$34,571,899</v>
      </c>
      <c r="I118" t="str">
        <f>PROPER(VLOOKUP($B118, Sheet3!$B:$I,I$3,0))</f>
        <v>$764,502,064</v>
      </c>
      <c r="J118" t="str">
        <f t="shared" si="5"/>
        <v>3.29</v>
      </c>
      <c r="K118">
        <f t="shared" si="3"/>
        <v>-1.6</v>
      </c>
    </row>
    <row r="119" spans="1:11" ht="22" customHeight="1" x14ac:dyDescent="0.2">
      <c r="A119" s="29" t="str">
        <f t="shared" si="4"/>
        <v>CUSDT</v>
      </c>
      <c r="B119" s="8">
        <v>115</v>
      </c>
      <c r="C119" t="str">
        <f>PROPER(VLOOKUP($B119, Sheet3!$B:$I,C$3,0))</f>
        <v>Cusdt (Cusdt)</v>
      </c>
      <c r="D119" t="str">
        <f>PROPER(VLOOKUP($B119, Sheet3!$B:$I,D$3,0))</f>
        <v>$0.021441547151</v>
      </c>
      <c r="E119" t="str">
        <f>PROPER(VLOOKUP($B119, Sheet3!$B:$I,E$3,0))</f>
        <v>0.001</v>
      </c>
      <c r="F119" t="str">
        <f>PROPER(VLOOKUP($B119, Sheet3!$B:$I,F$3,0))</f>
        <v>0</v>
      </c>
      <c r="G119" t="str">
        <f>PROPER(VLOOKUP($B119, Sheet3!$B:$I,G$3,0))</f>
        <v>0.004</v>
      </c>
      <c r="H119" t="str">
        <f>PROPER(VLOOKUP($B119, Sheet3!$B:$I,H$3,0))</f>
        <v>$3,115,241</v>
      </c>
      <c r="I119" t="str">
        <f>PROPER(VLOOKUP($B119, Sheet3!$B:$I,I$3,0))</f>
        <v>$764,526,168</v>
      </c>
      <c r="J119" t="str">
        <f t="shared" si="5"/>
        <v>0.021441547151</v>
      </c>
      <c r="K119">
        <f t="shared" si="3"/>
        <v>0</v>
      </c>
    </row>
    <row r="120" spans="1:11" ht="22" customHeight="1" x14ac:dyDescent="0.2">
      <c r="A120" s="29" t="str">
        <f t="shared" si="4"/>
        <v>NXM</v>
      </c>
      <c r="B120" s="8">
        <v>116</v>
      </c>
      <c r="C120" t="str">
        <f>PROPER(VLOOKUP($B120, Sheet3!$B:$I,C$3,0))</f>
        <v>Nexus Mutual (Nxm)</v>
      </c>
      <c r="D120" t="str">
        <f>PROPER(VLOOKUP($B120, Sheet3!$B:$I,D$3,0))</f>
        <v>$107.65</v>
      </c>
      <c r="E120" t="str">
        <f>PROPER(VLOOKUP($B120, Sheet3!$B:$I,E$3,0))</f>
        <v>0.001</v>
      </c>
      <c r="F120" t="str">
        <f>PROPER(VLOOKUP($B120, Sheet3!$B:$I,F$3,0))</f>
        <v>-0.002</v>
      </c>
      <c r="G120" t="str">
        <f>PROPER(VLOOKUP($B120, Sheet3!$B:$I,G$3,0))</f>
        <v>0.016</v>
      </c>
      <c r="H120" t="str">
        <f>PROPER(VLOOKUP($B120, Sheet3!$B:$I,H$3,0))</f>
        <v>$211,725</v>
      </c>
      <c r="I120" t="str">
        <f>PROPER(VLOOKUP($B120, Sheet3!$B:$I,I$3,0))</f>
        <v>$746,563,501</v>
      </c>
      <c r="J120" t="str">
        <f t="shared" si="5"/>
        <v>107.65</v>
      </c>
      <c r="K120">
        <f t="shared" si="3"/>
        <v>-0.2</v>
      </c>
    </row>
    <row r="121" spans="1:11" ht="22" customHeight="1" x14ac:dyDescent="0.2">
      <c r="A121" s="29" t="str">
        <f t="shared" si="4"/>
        <v>ZEN</v>
      </c>
      <c r="B121" s="8">
        <v>117</v>
      </c>
      <c r="C121" t="str">
        <f>PROPER(VLOOKUP($B121, Sheet3!$B:$I,C$3,0))</f>
        <v>Horizen (Zen)</v>
      </c>
      <c r="D121" t="str">
        <f>PROPER(VLOOKUP($B121, Sheet3!$B:$I,D$3,0))</f>
        <v>$63.95</v>
      </c>
      <c r="E121" t="str">
        <f>PROPER(VLOOKUP($B121, Sheet3!$B:$I,E$3,0))</f>
        <v>0.003</v>
      </c>
      <c r="F121" t="str">
        <f>PROPER(VLOOKUP($B121, Sheet3!$B:$I,F$3,0))</f>
        <v>-0.001</v>
      </c>
      <c r="G121" t="str">
        <f>PROPER(VLOOKUP($B121, Sheet3!$B:$I,G$3,0))</f>
        <v>-0.055</v>
      </c>
      <c r="H121" t="str">
        <f>PROPER(VLOOKUP($B121, Sheet3!$B:$I,H$3,0))</f>
        <v>$59,514,415</v>
      </c>
      <c r="I121" t="str">
        <f>PROPER(VLOOKUP($B121, Sheet3!$B:$I,I$3,0))</f>
        <v>$739,701,795</v>
      </c>
      <c r="J121" t="str">
        <f t="shared" si="5"/>
        <v>63.95</v>
      </c>
      <c r="K121">
        <f t="shared" si="3"/>
        <v>-0.1</v>
      </c>
    </row>
    <row r="122" spans="1:11" ht="22" customHeight="1" x14ac:dyDescent="0.2">
      <c r="A122" s="29" t="str">
        <f t="shared" si="4"/>
        <v>XSUSHI</v>
      </c>
      <c r="B122" s="8">
        <v>118</v>
      </c>
      <c r="C122" t="str">
        <f>PROPER(VLOOKUP($B122, Sheet3!$B:$I,C$3,0))</f>
        <v>Xsushi (Xsushi)</v>
      </c>
      <c r="D122" t="str">
        <f>PROPER(VLOOKUP($B122, Sheet3!$B:$I,D$3,0))</f>
        <v>$11.09</v>
      </c>
      <c r="E122" t="str">
        <f>PROPER(VLOOKUP($B122, Sheet3!$B:$I,E$3,0))</f>
        <v>-0.002</v>
      </c>
      <c r="F122" t="str">
        <f>PROPER(VLOOKUP($B122, Sheet3!$B:$I,F$3,0))</f>
        <v>-0.056</v>
      </c>
      <c r="G122" t="str">
        <f>PROPER(VLOOKUP($B122, Sheet3!$B:$I,G$3,0))</f>
        <v>0.032</v>
      </c>
      <c r="H122" t="str">
        <f>PROPER(VLOOKUP($B122, Sheet3!$B:$I,H$3,0))</f>
        <v>$1,000,768</v>
      </c>
      <c r="I122" t="str">
        <f>PROPER(VLOOKUP($B122, Sheet3!$B:$I,I$3,0))</f>
        <v>$731,745,058</v>
      </c>
      <c r="J122" t="str">
        <f t="shared" si="5"/>
        <v>11.09</v>
      </c>
      <c r="K122">
        <f t="shared" si="3"/>
        <v>-5.6000000000000005</v>
      </c>
    </row>
    <row r="123" spans="1:11" ht="22" customHeight="1" x14ac:dyDescent="0.2">
      <c r="A123" s="29" t="str">
        <f t="shared" si="4"/>
        <v>MDX</v>
      </c>
      <c r="B123" s="8">
        <v>119</v>
      </c>
      <c r="C123" t="str">
        <f>PROPER(VLOOKUP($B123, Sheet3!$B:$I,C$3,0))</f>
        <v>Mdex (Mdx)</v>
      </c>
      <c r="D123" t="str">
        <f>PROPER(VLOOKUP($B123, Sheet3!$B:$I,D$3,0))</f>
        <v>$1.10</v>
      </c>
      <c r="E123" t="str">
        <f>PROPER(VLOOKUP($B123, Sheet3!$B:$I,E$3,0))</f>
        <v>0.003</v>
      </c>
      <c r="F123" t="str">
        <f>PROPER(VLOOKUP($B123, Sheet3!$B:$I,F$3,0))</f>
        <v>-0.029</v>
      </c>
      <c r="G123" t="str">
        <f>PROPER(VLOOKUP($B123, Sheet3!$B:$I,G$3,0))</f>
        <v>-0.127</v>
      </c>
      <c r="H123" t="str">
        <f>PROPER(VLOOKUP($B123, Sheet3!$B:$I,H$3,0))</f>
        <v>$36,486,105</v>
      </c>
      <c r="I123" t="str">
        <f>PROPER(VLOOKUP($B123, Sheet3!$B:$I,I$3,0))</f>
        <v>$711,764,490</v>
      </c>
      <c r="J123" t="str">
        <f t="shared" si="5"/>
        <v>1.10</v>
      </c>
      <c r="K123">
        <f t="shared" si="3"/>
        <v>-2.9000000000000004</v>
      </c>
    </row>
    <row r="124" spans="1:11" ht="22" customHeight="1" x14ac:dyDescent="0.2">
      <c r="A124" s="29" t="str">
        <f t="shared" si="4"/>
        <v>RENBTC</v>
      </c>
      <c r="B124" s="8">
        <v>120</v>
      </c>
      <c r="C124" t="str">
        <f>PROPER(VLOOKUP($B124, Sheet3!$B:$I,C$3,0))</f>
        <v>Renbtc (Renbtc)</v>
      </c>
      <c r="D124" t="str">
        <f>PROPER(VLOOKUP($B124, Sheet3!$B:$I,D$3,0))</f>
        <v>$41,076</v>
      </c>
      <c r="E124" t="str">
        <f>PROPER(VLOOKUP($B124, Sheet3!$B:$I,E$3,0))</f>
        <v>-0.003</v>
      </c>
      <c r="F124" t="str">
        <f>PROPER(VLOOKUP($B124, Sheet3!$B:$I,F$3,0))</f>
        <v>-0.02</v>
      </c>
      <c r="G124" t="str">
        <f>PROPER(VLOOKUP($B124, Sheet3!$B:$I,G$3,0))</f>
        <v>0.024</v>
      </c>
      <c r="H124" t="str">
        <f>PROPER(VLOOKUP($B124, Sheet3!$B:$I,H$3,0))</f>
        <v>$1,686,267</v>
      </c>
      <c r="I124" t="str">
        <f>PROPER(VLOOKUP($B124, Sheet3!$B:$I,I$3,0))</f>
        <v>$698,422,495</v>
      </c>
      <c r="J124" t="str">
        <f t="shared" si="5"/>
        <v>41,076</v>
      </c>
      <c r="K124">
        <f t="shared" si="3"/>
        <v>-2</v>
      </c>
    </row>
    <row r="125" spans="1:11" ht="22" customHeight="1" x14ac:dyDescent="0.2">
      <c r="A125" s="29" t="str">
        <f t="shared" si="4"/>
        <v>ZRX</v>
      </c>
      <c r="B125" s="8">
        <v>121</v>
      </c>
      <c r="C125" t="str">
        <f>PROPER(VLOOKUP($B125, Sheet3!$B:$I,C$3,0))</f>
        <v>0X (Zrx)</v>
      </c>
      <c r="D125" t="str">
        <f>PROPER(VLOOKUP($B125, Sheet3!$B:$I,D$3,0))</f>
        <v>$0.822759</v>
      </c>
      <c r="E125" t="str">
        <f>PROPER(VLOOKUP($B125, Sheet3!$B:$I,E$3,0))</f>
        <v>-0.002</v>
      </c>
      <c r="F125" t="str">
        <f>PROPER(VLOOKUP($B125, Sheet3!$B:$I,F$3,0))</f>
        <v>-0.019</v>
      </c>
      <c r="G125" t="str">
        <f>PROPER(VLOOKUP($B125, Sheet3!$B:$I,G$3,0))</f>
        <v>-0.013</v>
      </c>
      <c r="H125" t="str">
        <f>PROPER(VLOOKUP($B125, Sheet3!$B:$I,H$3,0))</f>
        <v>$84,399,615</v>
      </c>
      <c r="I125" t="str">
        <f>PROPER(VLOOKUP($B125, Sheet3!$B:$I,I$3,0))</f>
        <v>$694,690,602</v>
      </c>
      <c r="J125" t="str">
        <f t="shared" si="5"/>
        <v>0.822759</v>
      </c>
      <c r="K125">
        <f t="shared" si="3"/>
        <v>-1.9</v>
      </c>
    </row>
    <row r="126" spans="1:11" ht="22" customHeight="1" x14ac:dyDescent="0.2">
      <c r="A126" s="29" t="str">
        <f t="shared" si="4"/>
        <v>SC</v>
      </c>
      <c r="B126" s="8">
        <v>122</v>
      </c>
      <c r="C126" t="str">
        <f>PROPER(VLOOKUP($B126, Sheet3!$B:$I,C$3,0))</f>
        <v>Siacoin (Sc)</v>
      </c>
      <c r="D126" t="str">
        <f>PROPER(VLOOKUP($B126, Sheet3!$B:$I,D$3,0))</f>
        <v>$0.013615220215</v>
      </c>
      <c r="E126" t="str">
        <f>PROPER(VLOOKUP($B126, Sheet3!$B:$I,E$3,0))</f>
        <v>-0.007</v>
      </c>
      <c r="F126" t="str">
        <f>PROPER(VLOOKUP($B126, Sheet3!$B:$I,F$3,0))</f>
        <v>-0.008</v>
      </c>
      <c r="G126" t="str">
        <f>PROPER(VLOOKUP($B126, Sheet3!$B:$I,G$3,0))</f>
        <v>-0.052</v>
      </c>
      <c r="H126" t="str">
        <f>PROPER(VLOOKUP($B126, Sheet3!$B:$I,H$3,0))</f>
        <v>$41,097,926</v>
      </c>
      <c r="I126" t="str">
        <f>PROPER(VLOOKUP($B126, Sheet3!$B:$I,I$3,0))</f>
        <v>$666,171,821</v>
      </c>
      <c r="J126" t="str">
        <f t="shared" si="5"/>
        <v>0.013615220215</v>
      </c>
      <c r="K126">
        <f t="shared" si="3"/>
        <v>-0.8</v>
      </c>
    </row>
    <row r="127" spans="1:11" ht="22" customHeight="1" x14ac:dyDescent="0.2">
      <c r="A127" s="29" t="str">
        <f t="shared" si="4"/>
        <v>RAY</v>
      </c>
      <c r="B127" s="8">
        <v>123</v>
      </c>
      <c r="C127" t="str">
        <f>PROPER(VLOOKUP($B127, Sheet3!$B:$I,C$3,0))</f>
        <v>Raydium (Ray)</v>
      </c>
      <c r="D127" t="str">
        <f>PROPER(VLOOKUP($B127, Sheet3!$B:$I,D$3,0))</f>
        <v>$9.06</v>
      </c>
      <c r="E127" t="str">
        <f>PROPER(VLOOKUP($B127, Sheet3!$B:$I,E$3,0))</f>
        <v>0</v>
      </c>
      <c r="F127" t="str">
        <f>PROPER(VLOOKUP($B127, Sheet3!$B:$I,F$3,0))</f>
        <v>-0.02</v>
      </c>
      <c r="G127" t="str">
        <f>PROPER(VLOOKUP($B127, Sheet3!$B:$I,G$3,0))</f>
        <v>-0.013</v>
      </c>
      <c r="H127" t="str">
        <f>PROPER(VLOOKUP($B127, Sheet3!$B:$I,H$3,0))</f>
        <v>$82,753,825</v>
      </c>
      <c r="I127" t="str">
        <f>PROPER(VLOOKUP($B127, Sheet3!$B:$I,I$3,0))</f>
        <v>$646,504,713</v>
      </c>
      <c r="J127" t="str">
        <f t="shared" si="5"/>
        <v>9.06</v>
      </c>
      <c r="K127">
        <f t="shared" si="3"/>
        <v>-2</v>
      </c>
    </row>
    <row r="128" spans="1:11" ht="22" customHeight="1" x14ac:dyDescent="0.2">
      <c r="A128" s="29" t="str">
        <f t="shared" si="4"/>
        <v>ONT</v>
      </c>
      <c r="B128" s="8">
        <v>124</v>
      </c>
      <c r="C128" t="str">
        <f>PROPER(VLOOKUP($B128, Sheet3!$B:$I,C$3,0))</f>
        <v>Ontology (Ont)</v>
      </c>
      <c r="D128" t="str">
        <f>PROPER(VLOOKUP($B128, Sheet3!$B:$I,D$3,0))</f>
        <v>$0.722130</v>
      </c>
      <c r="E128" t="str">
        <f>PROPER(VLOOKUP($B128, Sheet3!$B:$I,E$3,0))</f>
        <v>-0.003</v>
      </c>
      <c r="F128" t="str">
        <f>PROPER(VLOOKUP($B128, Sheet3!$B:$I,F$3,0))</f>
        <v>-0.009</v>
      </c>
      <c r="G128" t="str">
        <f>PROPER(VLOOKUP($B128, Sheet3!$B:$I,G$3,0))</f>
        <v>-0.067</v>
      </c>
      <c r="H128" t="str">
        <f>PROPER(VLOOKUP($B128, Sheet3!$B:$I,H$3,0))</f>
        <v>$93,620,232</v>
      </c>
      <c r="I128" t="str">
        <f>PROPER(VLOOKUP($B128, Sheet3!$B:$I,I$3,0))</f>
        <v>$632,106,458</v>
      </c>
      <c r="J128" t="str">
        <f t="shared" si="5"/>
        <v>0.722130</v>
      </c>
      <c r="K128">
        <f t="shared" si="3"/>
        <v>-0.89999999999999991</v>
      </c>
    </row>
    <row r="129" spans="1:11" ht="22" customHeight="1" x14ac:dyDescent="0.2">
      <c r="A129" s="29" t="str">
        <f t="shared" si="4"/>
        <v>DAG</v>
      </c>
      <c r="B129" s="8">
        <v>125</v>
      </c>
      <c r="C129" t="str">
        <f>PROPER(VLOOKUP($B129, Sheet3!$B:$I,C$3,0))</f>
        <v>Constellation (Dag)</v>
      </c>
      <c r="D129" t="str">
        <f>PROPER(VLOOKUP($B129, Sheet3!$B:$I,D$3,0))</f>
        <v>$0.243944</v>
      </c>
      <c r="E129" t="str">
        <f>PROPER(VLOOKUP($B129, Sheet3!$B:$I,E$3,0))</f>
        <v>-0.049</v>
      </c>
      <c r="F129" t="str">
        <f>PROPER(VLOOKUP($B129, Sheet3!$B:$I,F$3,0))</f>
        <v>-0.107</v>
      </c>
      <c r="G129" t="str">
        <f>PROPER(VLOOKUP($B129, Sheet3!$B:$I,G$3,0))</f>
        <v>-0.049</v>
      </c>
      <c r="H129" t="str">
        <f>PROPER(VLOOKUP($B129, Sheet3!$B:$I,H$3,0))</f>
        <v>$11,809,998</v>
      </c>
      <c r="I129" t="str">
        <f>PROPER(VLOOKUP($B129, Sheet3!$B:$I,I$3,0))</f>
        <v>$627,412,107</v>
      </c>
      <c r="J129" t="str">
        <f t="shared" si="5"/>
        <v>0.243944</v>
      </c>
      <c r="K129">
        <f t="shared" si="3"/>
        <v>-10.7</v>
      </c>
    </row>
    <row r="130" spans="1:11" ht="22" customHeight="1" x14ac:dyDescent="0.2">
      <c r="A130" s="29" t="str">
        <f t="shared" si="4"/>
        <v>GALA</v>
      </c>
      <c r="B130" s="8">
        <v>126</v>
      </c>
      <c r="C130" t="str">
        <f>PROPER(VLOOKUP($B130, Sheet3!$B:$I,C$3,0))</f>
        <v>Gala (Gala)</v>
      </c>
      <c r="D130" t="str">
        <f>PROPER(VLOOKUP($B130, Sheet3!$B:$I,D$3,0))</f>
        <v>$0.081364517295</v>
      </c>
      <c r="E130" t="str">
        <f>PROPER(VLOOKUP($B130, Sheet3!$B:$I,E$3,0))</f>
        <v>-0.011</v>
      </c>
      <c r="F130" t="str">
        <f>PROPER(VLOOKUP($B130, Sheet3!$B:$I,F$3,0))</f>
        <v>0.024</v>
      </c>
      <c r="G130" t="str">
        <f>PROPER(VLOOKUP($B130, Sheet3!$B:$I,G$3,0))</f>
        <v>-0.173</v>
      </c>
      <c r="H130" t="str">
        <f>PROPER(VLOOKUP($B130, Sheet3!$B:$I,H$3,0))</f>
        <v>$145,854,163</v>
      </c>
      <c r="I130" t="str">
        <f>PROPER(VLOOKUP($B130, Sheet3!$B:$I,I$3,0))</f>
        <v>$613,691,593</v>
      </c>
      <c r="J130" t="str">
        <f t="shared" si="5"/>
        <v>0.081364517295</v>
      </c>
      <c r="K130">
        <f t="shared" si="3"/>
        <v>2.4</v>
      </c>
    </row>
    <row r="131" spans="1:11" ht="22" customHeight="1" x14ac:dyDescent="0.2">
      <c r="A131" s="29" t="str">
        <f t="shared" si="4"/>
        <v>GT</v>
      </c>
      <c r="B131" s="8">
        <v>127</v>
      </c>
      <c r="C131" t="str">
        <f>PROPER(VLOOKUP($B131, Sheet3!$B:$I,C$3,0))</f>
        <v>Gatetoken (Gt)</v>
      </c>
      <c r="D131" t="str">
        <f>PROPER(VLOOKUP($B131, Sheet3!$B:$I,D$3,0))</f>
        <v>$3.78</v>
      </c>
      <c r="E131" t="str">
        <f>PROPER(VLOOKUP($B131, Sheet3!$B:$I,E$3,0))</f>
        <v>-0.025</v>
      </c>
      <c r="F131" t="str">
        <f>PROPER(VLOOKUP($B131, Sheet3!$B:$I,F$3,0))</f>
        <v>0.033</v>
      </c>
      <c r="G131" t="str">
        <f>PROPER(VLOOKUP($B131, Sheet3!$B:$I,G$3,0))</f>
        <v>-0.126</v>
      </c>
      <c r="H131" t="str">
        <f>PROPER(VLOOKUP($B131, Sheet3!$B:$I,H$3,0))</f>
        <v>$5,956,027</v>
      </c>
      <c r="I131" t="str">
        <f>PROPER(VLOOKUP($B131, Sheet3!$B:$I,I$3,0))</f>
        <v>$620,964,141</v>
      </c>
      <c r="J131" t="str">
        <f t="shared" si="5"/>
        <v>3.78</v>
      </c>
      <c r="K131">
        <f t="shared" si="3"/>
        <v>3.3000000000000003</v>
      </c>
    </row>
    <row r="132" spans="1:11" ht="22" customHeight="1" x14ac:dyDescent="0.2">
      <c r="A132" s="29" t="str">
        <f t="shared" si="4"/>
        <v>IOTX</v>
      </c>
      <c r="B132" s="8">
        <v>128</v>
      </c>
      <c r="C132" t="str">
        <f>PROPER(VLOOKUP($B132, Sheet3!$B:$I,C$3,0))</f>
        <v>Iotex (Iotx)</v>
      </c>
      <c r="D132" t="str">
        <f>PROPER(VLOOKUP($B132, Sheet3!$B:$I,D$3,0))</f>
        <v>$0.057490044329</v>
      </c>
      <c r="E132" t="str">
        <f>PROPER(VLOOKUP($B132, Sheet3!$B:$I,E$3,0))</f>
        <v>-0.002</v>
      </c>
      <c r="F132" t="str">
        <f>PROPER(VLOOKUP($B132, Sheet3!$B:$I,F$3,0))</f>
        <v>-0.02</v>
      </c>
      <c r="G132" t="str">
        <f>PROPER(VLOOKUP($B132, Sheet3!$B:$I,G$3,0))</f>
        <v>0.161</v>
      </c>
      <c r="H132" t="str">
        <f>PROPER(VLOOKUP($B132, Sheet3!$B:$I,H$3,0))</f>
        <v>$26,394,501</v>
      </c>
      <c r="I132" t="str">
        <f>PROPER(VLOOKUP($B132, Sheet3!$B:$I,I$3,0))</f>
        <v>$618,169,546</v>
      </c>
      <c r="J132" t="str">
        <f t="shared" si="5"/>
        <v>0.057490044329</v>
      </c>
      <c r="K132">
        <f t="shared" si="3"/>
        <v>-2</v>
      </c>
    </row>
    <row r="133" spans="1:11" ht="22" customHeight="1" x14ac:dyDescent="0.2">
      <c r="A133" s="29" t="str">
        <f t="shared" si="4"/>
        <v>DGB</v>
      </c>
      <c r="B133" s="8">
        <v>129</v>
      </c>
      <c r="C133" t="str">
        <f>PROPER(VLOOKUP($B133, Sheet3!$B:$I,C$3,0))</f>
        <v>Digibyte (Dgb)</v>
      </c>
      <c r="D133" t="str">
        <f>PROPER(VLOOKUP($B133, Sheet3!$B:$I,D$3,0))</f>
        <v>$0.041819737191</v>
      </c>
      <c r="E133" t="str">
        <f>PROPER(VLOOKUP($B133, Sheet3!$B:$I,E$3,0))</f>
        <v>-0.004</v>
      </c>
      <c r="F133" t="str">
        <f>PROPER(VLOOKUP($B133, Sheet3!$B:$I,F$3,0))</f>
        <v>-0.019</v>
      </c>
      <c r="G133" t="str">
        <f>PROPER(VLOOKUP($B133, Sheet3!$B:$I,G$3,0))</f>
        <v>-0.042</v>
      </c>
      <c r="H133" t="str">
        <f>PROPER(VLOOKUP($B133, Sheet3!$B:$I,H$3,0))</f>
        <v>$14,501,846</v>
      </c>
      <c r="I133" t="str">
        <f>PROPER(VLOOKUP($B133, Sheet3!$B:$I,I$3,0))</f>
        <v>$615,416,974</v>
      </c>
      <c r="J133" t="str">
        <f t="shared" si="5"/>
        <v>0.041819737191</v>
      </c>
      <c r="K133">
        <f t="shared" ref="K133:K196" si="6">F133*100</f>
        <v>-1.9</v>
      </c>
    </row>
    <row r="134" spans="1:11" ht="22" customHeight="1" x14ac:dyDescent="0.2">
      <c r="A134" s="29" t="str">
        <f t="shared" ref="A134:A197" si="7">UPPER(MID(LEFT(C134,FIND(")",C134)-1),FIND("(",C134)+1,LEN(C134)))</f>
        <v>LUSD</v>
      </c>
      <c r="B134" s="8">
        <v>130</v>
      </c>
      <c r="C134" t="str">
        <f>PROPER(VLOOKUP($B134, Sheet3!$B:$I,C$3,0))</f>
        <v>Liquity Usd (Lusd)</v>
      </c>
      <c r="D134" t="str">
        <f>PROPER(VLOOKUP($B134, Sheet3!$B:$I,D$3,0))</f>
        <v>$1.00</v>
      </c>
      <c r="E134" t="str">
        <f>PROPER(VLOOKUP($B134, Sheet3!$B:$I,E$3,0))</f>
        <v>0.007</v>
      </c>
      <c r="F134" t="str">
        <f>PROPER(VLOOKUP($B134, Sheet3!$B:$I,F$3,0))</f>
        <v>-0.006</v>
      </c>
      <c r="G134" t="str">
        <f>PROPER(VLOOKUP($B134, Sheet3!$B:$I,G$3,0))</f>
        <v>0.005</v>
      </c>
      <c r="H134" t="str">
        <f>PROPER(VLOOKUP($B134, Sheet3!$B:$I,H$3,0))</f>
        <v>$4,881,913</v>
      </c>
      <c r="I134" t="str">
        <f>PROPER(VLOOKUP($B134, Sheet3!$B:$I,I$3,0))</f>
        <v>$587,935,273</v>
      </c>
      <c r="J134" t="str">
        <f t="shared" ref="J134:J197" si="8">SUBSTITUTE(D134, "$", "")</f>
        <v>1.00</v>
      </c>
      <c r="K134">
        <f t="shared" si="6"/>
        <v>-0.6</v>
      </c>
    </row>
    <row r="135" spans="1:11" ht="22" customHeight="1" x14ac:dyDescent="0.2">
      <c r="A135" s="29" t="str">
        <f t="shared" si="7"/>
        <v>CHSB</v>
      </c>
      <c r="B135" s="8">
        <v>131</v>
      </c>
      <c r="C135" t="str">
        <f>PROPER(VLOOKUP($B135, Sheet3!$B:$I,C$3,0))</f>
        <v>Swissborg (Chsb)</v>
      </c>
      <c r="D135" t="str">
        <f>PROPER(VLOOKUP($B135, Sheet3!$B:$I,D$3,0))</f>
        <v>$0.601689</v>
      </c>
      <c r="E135" t="str">
        <f>PROPER(VLOOKUP($B135, Sheet3!$B:$I,E$3,0))</f>
        <v>-0.01</v>
      </c>
      <c r="F135" t="str">
        <f>PROPER(VLOOKUP($B135, Sheet3!$B:$I,F$3,0))</f>
        <v>-0.006</v>
      </c>
      <c r="G135" t="str">
        <f>PROPER(VLOOKUP($B135, Sheet3!$B:$I,G$3,0))</f>
        <v>-0.011</v>
      </c>
      <c r="H135" t="str">
        <f>PROPER(VLOOKUP($B135, Sheet3!$B:$I,H$3,0))</f>
        <v>$1,926,562</v>
      </c>
      <c r="I135" t="str">
        <f>PROPER(VLOOKUP($B135, Sheet3!$B:$I,I$3,0))</f>
        <v>$572,660,054</v>
      </c>
      <c r="J135" t="str">
        <f t="shared" si="8"/>
        <v>0.601689</v>
      </c>
      <c r="K135">
        <f t="shared" si="6"/>
        <v>-0.6</v>
      </c>
    </row>
    <row r="136" spans="1:11" ht="22" customHeight="1" x14ac:dyDescent="0.2">
      <c r="A136" s="29" t="str">
        <f t="shared" si="7"/>
        <v>ANKR</v>
      </c>
      <c r="B136" s="8">
        <v>132</v>
      </c>
      <c r="C136" t="str">
        <f>PROPER(VLOOKUP($B136, Sheet3!$B:$I,C$3,0))</f>
        <v>Ankr (Ankr)</v>
      </c>
      <c r="D136" t="str">
        <f>PROPER(VLOOKUP($B136, Sheet3!$B:$I,D$3,0))</f>
        <v>$0.074053631253</v>
      </c>
      <c r="E136" t="str">
        <f>PROPER(VLOOKUP($B136, Sheet3!$B:$I,E$3,0))</f>
        <v>0.001</v>
      </c>
      <c r="F136" t="str">
        <f>PROPER(VLOOKUP($B136, Sheet3!$B:$I,F$3,0))</f>
        <v>-0.027</v>
      </c>
      <c r="G136" t="str">
        <f>PROPER(VLOOKUP($B136, Sheet3!$B:$I,G$3,0))</f>
        <v>-0.04</v>
      </c>
      <c r="H136" t="str">
        <f>PROPER(VLOOKUP($B136, Sheet3!$B:$I,H$3,0))</f>
        <v>$28,633,575</v>
      </c>
      <c r="I136" t="str">
        <f>PROPER(VLOOKUP($B136, Sheet3!$B:$I,I$3,0))</f>
        <v>$567,556,353</v>
      </c>
      <c r="J136" t="str">
        <f t="shared" si="8"/>
        <v>0.074053631253</v>
      </c>
      <c r="K136">
        <f t="shared" si="6"/>
        <v>-2.7</v>
      </c>
    </row>
    <row r="137" spans="1:11" ht="22" customHeight="1" x14ac:dyDescent="0.2">
      <c r="A137" s="29" t="str">
        <f t="shared" si="7"/>
        <v>C98</v>
      </c>
      <c r="B137" s="8">
        <v>133</v>
      </c>
      <c r="C137" t="str">
        <f>PROPER(VLOOKUP($B137, Sheet3!$B:$I,C$3,0))</f>
        <v>Coin98 (C98)</v>
      </c>
      <c r="D137" t="str">
        <f>PROPER(VLOOKUP($B137, Sheet3!$B:$I,D$3,0))</f>
        <v>$3.03</v>
      </c>
      <c r="E137" t="str">
        <f>PROPER(VLOOKUP($B137, Sheet3!$B:$I,E$3,0))</f>
        <v>-0.011</v>
      </c>
      <c r="F137" t="str">
        <f>PROPER(VLOOKUP($B137, Sheet3!$B:$I,F$3,0))</f>
        <v>0.065</v>
      </c>
      <c r="G137" t="str">
        <f>PROPER(VLOOKUP($B137, Sheet3!$B:$I,G$3,0))</f>
        <v>-0.03</v>
      </c>
      <c r="H137" t="str">
        <f>PROPER(VLOOKUP($B137, Sheet3!$B:$I,H$3,0))</f>
        <v>$125,305,309</v>
      </c>
      <c r="I137" t="str">
        <f>PROPER(VLOOKUP($B137, Sheet3!$B:$I,I$3,0))</f>
        <v>$567,263,416</v>
      </c>
      <c r="J137" t="str">
        <f t="shared" si="8"/>
        <v>3.03</v>
      </c>
      <c r="K137">
        <f t="shared" si="6"/>
        <v>6.5</v>
      </c>
    </row>
    <row r="138" spans="1:11" ht="22" customHeight="1" x14ac:dyDescent="0.2">
      <c r="A138" s="29" t="str">
        <f t="shared" si="7"/>
        <v>NANO</v>
      </c>
      <c r="B138" s="8">
        <v>134</v>
      </c>
      <c r="C138" t="str">
        <f>PROPER(VLOOKUP($B138, Sheet3!$B:$I,C$3,0))</f>
        <v>Nano (Nano)</v>
      </c>
      <c r="D138" t="str">
        <f>PROPER(VLOOKUP($B138, Sheet3!$B:$I,D$3,0))</f>
        <v>$4.19</v>
      </c>
      <c r="E138" t="str">
        <f>PROPER(VLOOKUP($B138, Sheet3!$B:$I,E$3,0))</f>
        <v>0.003</v>
      </c>
      <c r="F138" t="str">
        <f>PROPER(VLOOKUP($B138, Sheet3!$B:$I,F$3,0))</f>
        <v>-0.027</v>
      </c>
      <c r="G138" t="str">
        <f>PROPER(VLOOKUP($B138, Sheet3!$B:$I,G$3,0))</f>
        <v>-0.041</v>
      </c>
      <c r="H138" t="str">
        <f>PROPER(VLOOKUP($B138, Sheet3!$B:$I,H$3,0))</f>
        <v>$15,004,327</v>
      </c>
      <c r="I138" t="str">
        <f>PROPER(VLOOKUP($B138, Sheet3!$B:$I,I$3,0))</f>
        <v>$556,114,112</v>
      </c>
      <c r="J138" t="str">
        <f t="shared" si="8"/>
        <v>4.19</v>
      </c>
      <c r="K138">
        <f t="shared" si="6"/>
        <v>-2.7</v>
      </c>
    </row>
    <row r="139" spans="1:11" ht="22" customHeight="1" x14ac:dyDescent="0.2">
      <c r="A139" s="29" t="str">
        <f t="shared" si="7"/>
        <v>MOVR</v>
      </c>
      <c r="B139" s="8">
        <v>135</v>
      </c>
      <c r="C139" t="str">
        <f>PROPER(VLOOKUP($B139, Sheet3!$B:$I,C$3,0))</f>
        <v>Moonriver (Movr)</v>
      </c>
      <c r="D139" t="str">
        <f>PROPER(VLOOKUP($B139, Sheet3!$B:$I,D$3,0))</f>
        <v>$287.95</v>
      </c>
      <c r="E139" t="str">
        <f>PROPER(VLOOKUP($B139, Sheet3!$B:$I,E$3,0))</f>
        <v>-0.025</v>
      </c>
      <c r="F139" t="str">
        <f>PROPER(VLOOKUP($B139, Sheet3!$B:$I,F$3,0))</f>
        <v>-0.062</v>
      </c>
      <c r="G139" t="str">
        <f>PROPER(VLOOKUP($B139, Sheet3!$B:$I,G$3,0))</f>
        <v>-0.026</v>
      </c>
      <c r="H139" t="str">
        <f>PROPER(VLOOKUP($B139, Sheet3!$B:$I,H$3,0))</f>
        <v>$29,919,786</v>
      </c>
      <c r="I139" t="str">
        <f>PROPER(VLOOKUP($B139, Sheet3!$B:$I,I$3,0))</f>
        <v>$549,209,650</v>
      </c>
      <c r="J139" t="str">
        <f t="shared" si="8"/>
        <v>287.95</v>
      </c>
      <c r="K139">
        <f t="shared" si="6"/>
        <v>-6.2</v>
      </c>
    </row>
    <row r="140" spans="1:11" ht="22" customHeight="1" x14ac:dyDescent="0.2">
      <c r="A140" s="29" t="str">
        <f t="shared" si="7"/>
        <v>COTI</v>
      </c>
      <c r="B140" s="8">
        <v>136</v>
      </c>
      <c r="C140" t="str">
        <f>PROPER(VLOOKUP($B140, Sheet3!$B:$I,C$3,0))</f>
        <v>Coti (Coti)</v>
      </c>
      <c r="D140" t="str">
        <f>PROPER(VLOOKUP($B140, Sheet3!$B:$I,D$3,0))</f>
        <v>$0.615581</v>
      </c>
      <c r="E140" t="str">
        <f>PROPER(VLOOKUP($B140, Sheet3!$B:$I,E$3,0))</f>
        <v>-0.023</v>
      </c>
      <c r="F140" t="str">
        <f>PROPER(VLOOKUP($B140, Sheet3!$B:$I,F$3,0))</f>
        <v>0.041</v>
      </c>
      <c r="G140" t="str">
        <f>PROPER(VLOOKUP($B140, Sheet3!$B:$I,G$3,0))</f>
        <v>1.125</v>
      </c>
      <c r="H140" t="str">
        <f>PROPER(VLOOKUP($B140, Sheet3!$B:$I,H$3,0))</f>
        <v>$426,641,922</v>
      </c>
      <c r="I140" t="str">
        <f>PROPER(VLOOKUP($B140, Sheet3!$B:$I,I$3,0))</f>
        <v>$548,697,383</v>
      </c>
      <c r="J140" t="str">
        <f t="shared" si="8"/>
        <v>0.615581</v>
      </c>
      <c r="K140">
        <f t="shared" si="6"/>
        <v>4.1000000000000005</v>
      </c>
    </row>
    <row r="141" spans="1:11" ht="22" customHeight="1" x14ac:dyDescent="0.2">
      <c r="A141" s="29" t="str">
        <f t="shared" si="7"/>
        <v>UMA</v>
      </c>
      <c r="B141" s="8">
        <v>137</v>
      </c>
      <c r="C141" t="str">
        <f>PROPER(VLOOKUP($B141, Sheet3!$B:$I,C$3,0))</f>
        <v>Uma (Uma)</v>
      </c>
      <c r="D141" t="str">
        <f>PROPER(VLOOKUP($B141, Sheet3!$B:$I,D$3,0))</f>
        <v>$8.73</v>
      </c>
      <c r="E141" t="str">
        <f>PROPER(VLOOKUP($B141, Sheet3!$B:$I,E$3,0))</f>
        <v>-0.004</v>
      </c>
      <c r="F141" t="str">
        <f>PROPER(VLOOKUP($B141, Sheet3!$B:$I,F$3,0))</f>
        <v>-0.018</v>
      </c>
      <c r="G141" t="str">
        <f>PROPER(VLOOKUP($B141, Sheet3!$B:$I,G$3,0))</f>
        <v>-0.058</v>
      </c>
      <c r="H141" t="str">
        <f>PROPER(VLOOKUP($B141, Sheet3!$B:$I,H$3,0))</f>
        <v>$39,320,757</v>
      </c>
      <c r="I141" t="str">
        <f>PROPER(VLOOKUP($B141, Sheet3!$B:$I,I$3,0))</f>
        <v>$549,775,482</v>
      </c>
      <c r="J141" t="str">
        <f t="shared" si="8"/>
        <v>8.73</v>
      </c>
      <c r="K141">
        <f t="shared" si="6"/>
        <v>-1.7999999999999998</v>
      </c>
    </row>
    <row r="142" spans="1:11" ht="22" customHeight="1" x14ac:dyDescent="0.2">
      <c r="A142" s="29" t="str">
        <f t="shared" si="7"/>
        <v>LN</v>
      </c>
      <c r="B142" s="8">
        <v>138</v>
      </c>
      <c r="C142" t="str">
        <f>PROPER(VLOOKUP($B142, Sheet3!$B:$I,C$3,0))</f>
        <v>Link (Ln)</v>
      </c>
      <c r="D142" t="str">
        <f>PROPER(VLOOKUP($B142, Sheet3!$B:$I,D$3,0))</f>
        <v>$90.58</v>
      </c>
      <c r="E142" t="str">
        <f>PROPER(VLOOKUP($B142, Sheet3!$B:$I,E$3,0))</f>
        <v>-0.004</v>
      </c>
      <c r="F142" t="str">
        <f>PROPER(VLOOKUP($B142, Sheet3!$B:$I,F$3,0))</f>
        <v>-0.037</v>
      </c>
      <c r="G142" t="str">
        <f>PROPER(VLOOKUP($B142, Sheet3!$B:$I,G$3,0))</f>
        <v>-0.019</v>
      </c>
      <c r="H142" t="str">
        <f>PROPER(VLOOKUP($B142, Sheet3!$B:$I,H$3,0))</f>
        <v>$1,950,399</v>
      </c>
      <c r="I142" t="str">
        <f>PROPER(VLOOKUP($B142, Sheet3!$B:$I,I$3,0))</f>
        <v>$543,219,617</v>
      </c>
      <c r="J142" t="str">
        <f t="shared" si="8"/>
        <v>90.58</v>
      </c>
      <c r="K142">
        <f t="shared" si="6"/>
        <v>-3.6999999999999997</v>
      </c>
    </row>
    <row r="143" spans="1:11" ht="22" customHeight="1" x14ac:dyDescent="0.2">
      <c r="A143" s="29" t="str">
        <f t="shared" si="7"/>
        <v>USDN</v>
      </c>
      <c r="B143" s="8">
        <v>139</v>
      </c>
      <c r="C143" t="str">
        <f>PROPER(VLOOKUP($B143, Sheet3!$B:$I,C$3,0))</f>
        <v>Neutrino Usd (Usdn)</v>
      </c>
      <c r="D143" t="str">
        <f>PROPER(VLOOKUP($B143, Sheet3!$B:$I,D$3,0))</f>
        <v>$0.983033</v>
      </c>
      <c r="E143" t="str">
        <f>PROPER(VLOOKUP($B143, Sheet3!$B:$I,E$3,0))</f>
        <v>0.002</v>
      </c>
      <c r="F143" t="str">
        <f>PROPER(VLOOKUP($B143, Sheet3!$B:$I,F$3,0))</f>
        <v>-0.001</v>
      </c>
      <c r="G143" t="str">
        <f>PROPER(VLOOKUP($B143, Sheet3!$B:$I,G$3,0))</f>
        <v>0.001</v>
      </c>
      <c r="H143" t="str">
        <f>PROPER(VLOOKUP($B143, Sheet3!$B:$I,H$3,0))</f>
        <v>$8,829,046</v>
      </c>
      <c r="I143" t="str">
        <f>PROPER(VLOOKUP($B143, Sheet3!$B:$I,I$3,0))</f>
        <v>$539,986,600</v>
      </c>
      <c r="J143" t="str">
        <f t="shared" si="8"/>
        <v>0.983033</v>
      </c>
      <c r="K143">
        <f t="shared" si="6"/>
        <v>-0.1</v>
      </c>
    </row>
    <row r="144" spans="1:11" ht="22" customHeight="1" x14ac:dyDescent="0.2">
      <c r="A144" s="29" t="str">
        <f t="shared" si="7"/>
        <v>SAND</v>
      </c>
      <c r="B144" s="8">
        <v>140</v>
      </c>
      <c r="C144" t="str">
        <f>PROPER(VLOOKUP($B144, Sheet3!$B:$I,C$3,0))</f>
        <v>The Sandbox (Sand)</v>
      </c>
      <c r="D144" t="str">
        <f>PROPER(VLOOKUP($B144, Sheet3!$B:$I,D$3,0))</f>
        <v>$0.598758</v>
      </c>
      <c r="E144" t="str">
        <f>PROPER(VLOOKUP($B144, Sheet3!$B:$I,E$3,0))</f>
        <v>-0.001</v>
      </c>
      <c r="F144" t="str">
        <f>PROPER(VLOOKUP($B144, Sheet3!$B:$I,F$3,0))</f>
        <v>-0.027</v>
      </c>
      <c r="G144" t="str">
        <f>PROPER(VLOOKUP($B144, Sheet3!$B:$I,G$3,0))</f>
        <v>0.006</v>
      </c>
      <c r="H144" t="str">
        <f>PROPER(VLOOKUP($B144, Sheet3!$B:$I,H$3,0))</f>
        <v>$67,887,349</v>
      </c>
      <c r="I144" t="str">
        <f>PROPER(VLOOKUP($B144, Sheet3!$B:$I,I$3,0))</f>
        <v>$534,240,364</v>
      </c>
      <c r="J144" t="str">
        <f t="shared" si="8"/>
        <v>0.598758</v>
      </c>
      <c r="K144">
        <f t="shared" si="6"/>
        <v>-2.7</v>
      </c>
    </row>
    <row r="145" spans="1:11" ht="22" customHeight="1" x14ac:dyDescent="0.2">
      <c r="A145" s="29" t="str">
        <f t="shared" si="7"/>
        <v>RPL</v>
      </c>
      <c r="B145" s="8">
        <v>141</v>
      </c>
      <c r="C145" t="str">
        <f>PROPER(VLOOKUP($B145, Sheet3!$B:$I,C$3,0))</f>
        <v>Rocket Pool (Rpl)</v>
      </c>
      <c r="D145" t="str">
        <f>PROPER(VLOOKUP($B145, Sheet3!$B:$I,D$3,0))</f>
        <v>$30.31</v>
      </c>
      <c r="E145" t="str">
        <f>PROPER(VLOOKUP($B145, Sheet3!$B:$I,E$3,0))</f>
        <v>0.001</v>
      </c>
      <c r="F145" t="str">
        <f>PROPER(VLOOKUP($B145, Sheet3!$B:$I,F$3,0))</f>
        <v>-0.02</v>
      </c>
      <c r="G145" t="str">
        <f>PROPER(VLOOKUP($B145, Sheet3!$B:$I,G$3,0))</f>
        <v>0.075</v>
      </c>
      <c r="H145" t="str">
        <f>PROPER(VLOOKUP($B145, Sheet3!$B:$I,H$3,0))</f>
        <v>$5,093,726</v>
      </c>
      <c r="I145" t="str">
        <f>PROPER(VLOOKUP($B145, Sheet3!$B:$I,I$3,0))</f>
        <v>$490,318,718</v>
      </c>
      <c r="J145" t="str">
        <f t="shared" si="8"/>
        <v>30.31</v>
      </c>
      <c r="K145">
        <f t="shared" si="6"/>
        <v>-2</v>
      </c>
    </row>
    <row r="146" spans="1:11" ht="22" customHeight="1" x14ac:dyDescent="0.2">
      <c r="A146" s="29" t="str">
        <f t="shared" si="7"/>
        <v>YGG</v>
      </c>
      <c r="B146" s="8">
        <v>142</v>
      </c>
      <c r="C146" t="str">
        <f>PROPER(VLOOKUP($B146, Sheet3!$B:$I,C$3,0))</f>
        <v>Yield Guild Games (Ygg)</v>
      </c>
      <c r="D146" t="str">
        <f>PROPER(VLOOKUP($B146, Sheet3!$B:$I,D$3,0))</f>
        <v>$5.48</v>
      </c>
      <c r="E146" t="str">
        <f>PROPER(VLOOKUP($B146, Sheet3!$B:$I,E$3,0))</f>
        <v>-0.004</v>
      </c>
      <c r="F146" t="str">
        <f>PROPER(VLOOKUP($B146, Sheet3!$B:$I,F$3,0))</f>
        <v>0.023</v>
      </c>
      <c r="G146" t="str">
        <f>PROPER(VLOOKUP($B146, Sheet3!$B:$I,G$3,0))</f>
        <v>0.144</v>
      </c>
      <c r="H146" t="str">
        <f>PROPER(VLOOKUP($B146, Sheet3!$B:$I,H$3,0))</f>
        <v>$81,792,618</v>
      </c>
      <c r="I146" t="str">
        <f>PROPER(VLOOKUP($B146, Sheet3!$B:$I,I$3,0))</f>
        <v>$483,806,621</v>
      </c>
      <c r="J146" t="str">
        <f t="shared" si="8"/>
        <v>5.48</v>
      </c>
      <c r="K146">
        <f t="shared" si="6"/>
        <v>2.2999999999999998</v>
      </c>
    </row>
    <row r="147" spans="1:11" ht="22" customHeight="1" x14ac:dyDescent="0.2">
      <c r="A147" s="29" t="str">
        <f t="shared" si="7"/>
        <v>HERO</v>
      </c>
      <c r="B147" s="8">
        <v>143</v>
      </c>
      <c r="C147" t="str">
        <f>PROPER(VLOOKUP($B147, Sheet3!$B:$I,C$3,0))</f>
        <v>Metahero (Hero)</v>
      </c>
      <c r="D147" t="str">
        <f>PROPER(VLOOKUP($B147, Sheet3!$B:$I,D$3,0))</f>
        <v>$0.107868</v>
      </c>
      <c r="E147" t="str">
        <f>PROPER(VLOOKUP($B147, Sheet3!$B:$I,E$3,0))</f>
        <v>0.049</v>
      </c>
      <c r="F147" t="str">
        <f>PROPER(VLOOKUP($B147, Sheet3!$B:$I,F$3,0))</f>
        <v>0.072</v>
      </c>
      <c r="G147" t="str">
        <f>PROPER(VLOOKUP($B147, Sheet3!$B:$I,G$3,0))</f>
        <v>0.299</v>
      </c>
      <c r="H147" t="str">
        <f>PROPER(VLOOKUP($B147, Sheet3!$B:$I,H$3,0))</f>
        <v>$13,573,010</v>
      </c>
      <c r="I147" t="str">
        <f>PROPER(VLOOKUP($B147, Sheet3!$B:$I,I$3,0))</f>
        <v>$481,910,433</v>
      </c>
      <c r="J147" t="str">
        <f t="shared" si="8"/>
        <v>0.107868</v>
      </c>
      <c r="K147">
        <f t="shared" si="6"/>
        <v>7.1999999999999993</v>
      </c>
    </row>
    <row r="148" spans="1:11" ht="22" customHeight="1" x14ac:dyDescent="0.2">
      <c r="A148" s="29" t="str">
        <f t="shared" si="7"/>
        <v>FET</v>
      </c>
      <c r="B148" s="8">
        <v>144</v>
      </c>
      <c r="C148" t="str">
        <f>PROPER(VLOOKUP($B148, Sheet3!$B:$I,C$3,0))</f>
        <v>Fetch.Ai (Fet)</v>
      </c>
      <c r="D148" t="str">
        <f>PROPER(VLOOKUP($B148, Sheet3!$B:$I,D$3,0))</f>
        <v>$0.683310</v>
      </c>
      <c r="E148" t="str">
        <f>PROPER(VLOOKUP($B148, Sheet3!$B:$I,E$3,0))</f>
        <v>0.004</v>
      </c>
      <c r="F148" t="str">
        <f>PROPER(VLOOKUP($B148, Sheet3!$B:$I,F$3,0))</f>
        <v>-0.052</v>
      </c>
      <c r="G148" t="str">
        <f>PROPER(VLOOKUP($B148, Sheet3!$B:$I,G$3,0))</f>
        <v>0.132</v>
      </c>
      <c r="H148" t="str">
        <f>PROPER(VLOOKUP($B148, Sheet3!$B:$I,H$3,0))</f>
        <v>$55,964,227</v>
      </c>
      <c r="I148" t="str">
        <f>PROPER(VLOOKUP($B148, Sheet3!$B:$I,I$3,0))</f>
        <v>$470,250,630</v>
      </c>
      <c r="J148" t="str">
        <f t="shared" si="8"/>
        <v>0.683310</v>
      </c>
      <c r="K148">
        <f t="shared" si="6"/>
        <v>-5.2</v>
      </c>
    </row>
    <row r="149" spans="1:11" ht="22" customHeight="1" x14ac:dyDescent="0.2">
      <c r="A149" s="29" t="str">
        <f t="shared" si="7"/>
        <v>POLY</v>
      </c>
      <c r="B149" s="8">
        <v>145</v>
      </c>
      <c r="C149" t="str">
        <f>PROPER(VLOOKUP($B149, Sheet3!$B:$I,C$3,0))</f>
        <v>Polymath (Poly)</v>
      </c>
      <c r="D149" t="str">
        <f>PROPER(VLOOKUP($B149, Sheet3!$B:$I,D$3,0))</f>
        <v>$0.526927</v>
      </c>
      <c r="E149" t="str">
        <f>PROPER(VLOOKUP($B149, Sheet3!$B:$I,E$3,0))</f>
        <v>-0.019</v>
      </c>
      <c r="F149" t="str">
        <f>PROPER(VLOOKUP($B149, Sheet3!$B:$I,F$3,0))</f>
        <v>-0.01</v>
      </c>
      <c r="G149" t="str">
        <f>PROPER(VLOOKUP($B149, Sheet3!$B:$I,G$3,0))</f>
        <v>-0.001</v>
      </c>
      <c r="H149" t="str">
        <f>PROPER(VLOOKUP($B149, Sheet3!$B:$I,H$3,0))</f>
        <v>$10,292,088</v>
      </c>
      <c r="I149" t="str">
        <f>PROPER(VLOOKUP($B149, Sheet3!$B:$I,I$3,0))</f>
        <v>$460,045,376</v>
      </c>
      <c r="J149" t="str">
        <f t="shared" si="8"/>
        <v>0.526927</v>
      </c>
      <c r="K149">
        <f t="shared" si="6"/>
        <v>-1</v>
      </c>
    </row>
    <row r="150" spans="1:11" ht="22" customHeight="1" x14ac:dyDescent="0.2">
      <c r="A150" s="29" t="str">
        <f t="shared" si="7"/>
        <v>KAVA</v>
      </c>
      <c r="B150" s="8">
        <v>146</v>
      </c>
      <c r="C150" t="str">
        <f>PROPER(VLOOKUP($B150, Sheet3!$B:$I,C$3,0))</f>
        <v>Kava (Kava)</v>
      </c>
      <c r="D150" t="str">
        <f>PROPER(VLOOKUP($B150, Sheet3!$B:$I,D$3,0))</f>
        <v>$5.03</v>
      </c>
      <c r="E150" t="str">
        <f>PROPER(VLOOKUP($B150, Sheet3!$B:$I,E$3,0))</f>
        <v>-0.011</v>
      </c>
      <c r="F150" t="str">
        <f>PROPER(VLOOKUP($B150, Sheet3!$B:$I,F$3,0))</f>
        <v>-0.043</v>
      </c>
      <c r="G150" t="str">
        <f>PROPER(VLOOKUP($B150, Sheet3!$B:$I,G$3,0))</f>
        <v>0.086</v>
      </c>
      <c r="H150" t="str">
        <f>PROPER(VLOOKUP($B150, Sheet3!$B:$I,H$3,0))</f>
        <v>$118,633,821</v>
      </c>
      <c r="I150" t="str">
        <f>PROPER(VLOOKUP($B150, Sheet3!$B:$I,I$3,0))</f>
        <v>$466,210,590</v>
      </c>
      <c r="J150" t="str">
        <f t="shared" si="8"/>
        <v>5.03</v>
      </c>
      <c r="K150">
        <f t="shared" si="6"/>
        <v>-4.3</v>
      </c>
    </row>
    <row r="151" spans="1:11" ht="22" customHeight="1" x14ac:dyDescent="0.2">
      <c r="A151" s="29" t="str">
        <f t="shared" si="7"/>
        <v>ERG</v>
      </c>
      <c r="B151" s="8">
        <v>147</v>
      </c>
      <c r="C151" t="str">
        <f>PROPER(VLOOKUP($B151, Sheet3!$B:$I,C$3,0))</f>
        <v>Ergo (Erg)</v>
      </c>
      <c r="D151" t="str">
        <f>PROPER(VLOOKUP($B151, Sheet3!$B:$I,D$3,0))</f>
        <v>$10.49</v>
      </c>
      <c r="E151" t="str">
        <f>PROPER(VLOOKUP($B151, Sheet3!$B:$I,E$3,0))</f>
        <v>-0.01</v>
      </c>
      <c r="F151" t="str">
        <f>PROPER(VLOOKUP($B151, Sheet3!$B:$I,F$3,0))</f>
        <v>-0.059</v>
      </c>
      <c r="G151" t="str">
        <f>PROPER(VLOOKUP($B151, Sheet3!$B:$I,G$3,0))</f>
        <v>-0.126</v>
      </c>
      <c r="H151" t="str">
        <f>PROPER(VLOOKUP($B151, Sheet3!$B:$I,H$3,0))</f>
        <v>$8,589,077</v>
      </c>
      <c r="I151" t="str">
        <f>PROPER(VLOOKUP($B151, Sheet3!$B:$I,I$3,0))</f>
        <v>$460,245,961</v>
      </c>
      <c r="J151" t="str">
        <f t="shared" si="8"/>
        <v>10.49</v>
      </c>
      <c r="K151">
        <f t="shared" si="6"/>
        <v>-5.8999999999999995</v>
      </c>
    </row>
    <row r="152" spans="1:11" ht="22" customHeight="1" x14ac:dyDescent="0.2">
      <c r="A152" s="29" t="str">
        <f t="shared" si="7"/>
        <v>WRX</v>
      </c>
      <c r="B152" s="8">
        <v>148</v>
      </c>
      <c r="C152" t="str">
        <f>PROPER(VLOOKUP($B152, Sheet3!$B:$I,C$3,0))</f>
        <v>Wazirx (Wrx)</v>
      </c>
      <c r="D152" t="str">
        <f>PROPER(VLOOKUP($B152, Sheet3!$B:$I,D$3,0))</f>
        <v>$1.00</v>
      </c>
      <c r="E152" t="str">
        <f>PROPER(VLOOKUP($B152, Sheet3!$B:$I,E$3,0))</f>
        <v>-0.011</v>
      </c>
      <c r="F152" t="str">
        <f>PROPER(VLOOKUP($B152, Sheet3!$B:$I,F$3,0))</f>
        <v>-0.008</v>
      </c>
      <c r="G152" t="str">
        <f>PROPER(VLOOKUP($B152, Sheet3!$B:$I,G$3,0))</f>
        <v>0.008</v>
      </c>
      <c r="H152" t="str">
        <f>PROPER(VLOOKUP($B152, Sheet3!$B:$I,H$3,0))</f>
        <v>$8,973,581</v>
      </c>
      <c r="I152" t="str">
        <f>PROPER(VLOOKUP($B152, Sheet3!$B:$I,I$3,0))</f>
        <v>$453,982,395</v>
      </c>
      <c r="J152" t="str">
        <f t="shared" si="8"/>
        <v>1.00</v>
      </c>
      <c r="K152">
        <f t="shared" si="6"/>
        <v>-0.8</v>
      </c>
    </row>
    <row r="153" spans="1:11" ht="22" customHeight="1" x14ac:dyDescent="0.2">
      <c r="A153" s="29" t="str">
        <f t="shared" si="7"/>
        <v>TITAN</v>
      </c>
      <c r="B153" s="8">
        <v>149</v>
      </c>
      <c r="C153" t="str">
        <f>PROPER(VLOOKUP($B153, Sheet3!$B:$I,C$3,0))</f>
        <v>Titanswap (Titan)</v>
      </c>
      <c r="D153" t="str">
        <f>PROPER(VLOOKUP($B153, Sheet3!$B:$I,D$3,0))</f>
        <v>$4.56</v>
      </c>
      <c r="E153" t="str">
        <f>PROPER(VLOOKUP($B153, Sheet3!$B:$I,E$3,0))</f>
        <v>0.003</v>
      </c>
      <c r="F153" t="str">
        <f>PROPER(VLOOKUP($B153, Sheet3!$B:$I,F$3,0))</f>
        <v>-0.005</v>
      </c>
      <c r="G153" t="str">
        <f>PROPER(VLOOKUP($B153, Sheet3!$B:$I,G$3,0))</f>
        <v>-0.19</v>
      </c>
      <c r="H153" t="str">
        <f>PROPER(VLOOKUP($B153, Sheet3!$B:$I,H$3,0))</f>
        <v>$118,408</v>
      </c>
      <c r="I153" t="str">
        <f>PROPER(VLOOKUP($B153, Sheet3!$B:$I,I$3,0))</f>
        <v>$455,816,407</v>
      </c>
      <c r="J153" t="str">
        <f t="shared" si="8"/>
        <v>4.56</v>
      </c>
      <c r="K153">
        <f t="shared" si="6"/>
        <v>-0.5</v>
      </c>
    </row>
    <row r="154" spans="1:11" ht="22" customHeight="1" x14ac:dyDescent="0.2">
      <c r="A154" s="29" t="str">
        <f t="shared" si="7"/>
        <v>VXV</v>
      </c>
      <c r="B154" s="8">
        <v>150</v>
      </c>
      <c r="C154" t="str">
        <f>PROPER(VLOOKUP($B154, Sheet3!$B:$I,C$3,0))</f>
        <v>Vectorspace Ai (Vxv)</v>
      </c>
      <c r="D154" t="str">
        <f>PROPER(VLOOKUP($B154, Sheet3!$B:$I,D$3,0))</f>
        <v>$12.34</v>
      </c>
      <c r="E154" t="str">
        <f>PROPER(VLOOKUP($B154, Sheet3!$B:$I,E$3,0))</f>
        <v>0.034</v>
      </c>
      <c r="F154" t="str">
        <f>PROPER(VLOOKUP($B154, Sheet3!$B:$I,F$3,0))</f>
        <v>0.007</v>
      </c>
      <c r="G154" t="str">
        <f>PROPER(VLOOKUP($B154, Sheet3!$B:$I,G$3,0))</f>
        <v>0.303</v>
      </c>
      <c r="H154" t="str">
        <f>PROPER(VLOOKUP($B154, Sheet3!$B:$I,H$3,0))</f>
        <v>$3,475,105</v>
      </c>
      <c r="I154" t="str">
        <f>PROPER(VLOOKUP($B154, Sheet3!$B:$I,I$3,0))</f>
        <v>$454,031,314</v>
      </c>
      <c r="J154" t="str">
        <f t="shared" si="8"/>
        <v>12.34</v>
      </c>
      <c r="K154">
        <f t="shared" si="6"/>
        <v>0.70000000000000007</v>
      </c>
    </row>
    <row r="155" spans="1:11" ht="22" customHeight="1" x14ac:dyDescent="0.2">
      <c r="A155" s="29" t="str">
        <f t="shared" si="7"/>
        <v>FEI</v>
      </c>
      <c r="B155" s="8">
        <v>151</v>
      </c>
      <c r="C155" t="str">
        <f>PROPER(VLOOKUP($B155, Sheet3!$B:$I,C$3,0))</f>
        <v>Fei Protocol (Fei)</v>
      </c>
      <c r="D155" t="str">
        <f>PROPER(VLOOKUP($B155, Sheet3!$B:$I,D$3,0))</f>
        <v>$1.01</v>
      </c>
      <c r="E155" t="str">
        <f>PROPER(VLOOKUP($B155, Sheet3!$B:$I,E$3,0))</f>
        <v>0.008</v>
      </c>
      <c r="F155" t="str">
        <f>PROPER(VLOOKUP($B155, Sheet3!$B:$I,F$3,0))</f>
        <v>0.004</v>
      </c>
      <c r="G155" t="str">
        <f>PROPER(VLOOKUP($B155, Sheet3!$B:$I,G$3,0))</f>
        <v>0.008</v>
      </c>
      <c r="H155" t="str">
        <f>PROPER(VLOOKUP($B155, Sheet3!$B:$I,H$3,0))</f>
        <v>$43,972,984</v>
      </c>
      <c r="I155" t="str">
        <f>PROPER(VLOOKUP($B155, Sheet3!$B:$I,I$3,0))</f>
        <v>$452,479,923</v>
      </c>
      <c r="J155" t="str">
        <f t="shared" si="8"/>
        <v>1.01</v>
      </c>
      <c r="K155">
        <f t="shared" si="6"/>
        <v>0.4</v>
      </c>
    </row>
    <row r="156" spans="1:11" ht="22" customHeight="1" x14ac:dyDescent="0.2">
      <c r="A156" s="29" t="str">
        <f t="shared" si="7"/>
        <v>OXY</v>
      </c>
      <c r="B156" s="8">
        <v>152</v>
      </c>
      <c r="C156" t="str">
        <f>PROPER(VLOOKUP($B156, Sheet3!$B:$I,C$3,0))</f>
        <v>Oxygen (Oxy)</v>
      </c>
      <c r="D156" t="str">
        <f>PROPER(VLOOKUP($B156, Sheet3!$B:$I,D$3,0))</f>
        <v>$2.21</v>
      </c>
      <c r="E156" t="str">
        <f>PROPER(VLOOKUP($B156, Sheet3!$B:$I,E$3,0))</f>
        <v>0</v>
      </c>
      <c r="F156" t="str">
        <f>PROPER(VLOOKUP($B156, Sheet3!$B:$I,F$3,0))</f>
        <v>0.038</v>
      </c>
      <c r="G156" t="str">
        <f>PROPER(VLOOKUP($B156, Sheet3!$B:$I,G$3,0))</f>
        <v>0.19</v>
      </c>
      <c r="H156" t="str">
        <f>PROPER(VLOOKUP($B156, Sheet3!$B:$I,H$3,0))</f>
        <v>$3,299,920</v>
      </c>
      <c r="I156" t="str">
        <f>PROPER(VLOOKUP($B156, Sheet3!$B:$I,I$3,0))</f>
        <v>$448,249,777</v>
      </c>
      <c r="J156" t="str">
        <f t="shared" si="8"/>
        <v>2.21</v>
      </c>
      <c r="K156">
        <f t="shared" si="6"/>
        <v>3.8</v>
      </c>
    </row>
    <row r="157" spans="1:11" ht="22" customHeight="1" x14ac:dyDescent="0.2">
      <c r="A157" s="29" t="str">
        <f t="shared" si="7"/>
        <v>LRC</v>
      </c>
      <c r="B157" s="8">
        <v>153</v>
      </c>
      <c r="C157" t="str">
        <f>PROPER(VLOOKUP($B157, Sheet3!$B:$I,C$3,0))</f>
        <v>Loopring (Lrc)</v>
      </c>
      <c r="D157" t="str">
        <f>PROPER(VLOOKUP($B157, Sheet3!$B:$I,D$3,0))</f>
        <v>$0.354875</v>
      </c>
      <c r="E157" t="str">
        <f>PROPER(VLOOKUP($B157, Sheet3!$B:$I,E$3,0))</f>
        <v>0.004</v>
      </c>
      <c r="F157" t="str">
        <f>PROPER(VLOOKUP($B157, Sheet3!$B:$I,F$3,0))</f>
        <v>-0.01</v>
      </c>
      <c r="G157" t="str">
        <f>PROPER(VLOOKUP($B157, Sheet3!$B:$I,G$3,0))</f>
        <v>-0.055</v>
      </c>
      <c r="H157" t="str">
        <f>PROPER(VLOOKUP($B157, Sheet3!$B:$I,H$3,0))</f>
        <v>$33,957,008</v>
      </c>
      <c r="I157" t="str">
        <f>PROPER(VLOOKUP($B157, Sheet3!$B:$I,I$3,0))</f>
        <v>$441,488,627</v>
      </c>
      <c r="J157" t="str">
        <f t="shared" si="8"/>
        <v>0.354875</v>
      </c>
      <c r="K157">
        <f t="shared" si="6"/>
        <v>-1</v>
      </c>
    </row>
    <row r="158" spans="1:11" ht="22" customHeight="1" x14ac:dyDescent="0.2">
      <c r="A158" s="29" t="str">
        <f t="shared" si="7"/>
        <v>1INCH</v>
      </c>
      <c r="B158" s="8">
        <v>154</v>
      </c>
      <c r="C158" t="str">
        <f>PROPER(VLOOKUP($B158, Sheet3!$B:$I,C$3,0))</f>
        <v>1Inch (1Inch)</v>
      </c>
      <c r="D158" t="str">
        <f>PROPER(VLOOKUP($B158, Sheet3!$B:$I,D$3,0))</f>
        <v>$2.42</v>
      </c>
      <c r="E158" t="str">
        <f>PROPER(VLOOKUP($B158, Sheet3!$B:$I,E$3,0))</f>
        <v>0.002</v>
      </c>
      <c r="F158" t="str">
        <f>PROPER(VLOOKUP($B158, Sheet3!$B:$I,F$3,0))</f>
        <v>-0.021</v>
      </c>
      <c r="G158" t="str">
        <f>PROPER(VLOOKUP($B158, Sheet3!$B:$I,G$3,0))</f>
        <v>0.05</v>
      </c>
      <c r="H158" t="str">
        <f>PROPER(VLOOKUP($B158, Sheet3!$B:$I,H$3,0))</f>
        <v>$73,763,064</v>
      </c>
      <c r="I158" t="str">
        <f>PROPER(VLOOKUP($B158, Sheet3!$B:$I,I$3,0))</f>
        <v>$436,967,983</v>
      </c>
      <c r="J158" t="str">
        <f t="shared" si="8"/>
        <v>2.42</v>
      </c>
      <c r="K158">
        <f t="shared" si="6"/>
        <v>-2.1</v>
      </c>
    </row>
    <row r="159" spans="1:11" ht="22" customHeight="1" x14ac:dyDescent="0.2">
      <c r="A159" s="29" t="str">
        <f t="shared" si="7"/>
        <v>GLM</v>
      </c>
      <c r="B159" s="8">
        <v>155</v>
      </c>
      <c r="C159" t="str">
        <f>PROPER(VLOOKUP($B159, Sheet3!$B:$I,C$3,0))</f>
        <v>Golem (Glm)</v>
      </c>
      <c r="D159" t="str">
        <f>PROPER(VLOOKUP($B159, Sheet3!$B:$I,D$3,0))</f>
        <v>$0.431507</v>
      </c>
      <c r="E159" t="str">
        <f>PROPER(VLOOKUP($B159, Sheet3!$B:$I,E$3,0))</f>
        <v>-0.007</v>
      </c>
      <c r="F159" t="str">
        <f>PROPER(VLOOKUP($B159, Sheet3!$B:$I,F$3,0))</f>
        <v>-0.016</v>
      </c>
      <c r="G159" t="str">
        <f>PROPER(VLOOKUP($B159, Sheet3!$B:$I,G$3,0))</f>
        <v>-0.013</v>
      </c>
      <c r="H159" t="str">
        <f>PROPER(VLOOKUP($B159, Sheet3!$B:$I,H$3,0))</f>
        <v>$2,572,482</v>
      </c>
      <c r="I159" t="str">
        <f>PROPER(VLOOKUP($B159, Sheet3!$B:$I,I$3,0))</f>
        <v>$431,689,956</v>
      </c>
      <c r="J159" t="str">
        <f t="shared" si="8"/>
        <v>0.431507</v>
      </c>
      <c r="K159">
        <f t="shared" si="6"/>
        <v>-1.6</v>
      </c>
    </row>
    <row r="160" spans="1:11" ht="22" customHeight="1" x14ac:dyDescent="0.2">
      <c r="A160" s="29" t="str">
        <f t="shared" si="7"/>
        <v>UOS</v>
      </c>
      <c r="B160" s="8">
        <v>156</v>
      </c>
      <c r="C160" t="str">
        <f>PROPER(VLOOKUP($B160, Sheet3!$B:$I,C$3,0))</f>
        <v>Ultra (Uos)</v>
      </c>
      <c r="D160" t="str">
        <f>PROPER(VLOOKUP($B160, Sheet3!$B:$I,D$3,0))</f>
        <v>$0.501219</v>
      </c>
      <c r="E160" t="str">
        <f>PROPER(VLOOKUP($B160, Sheet3!$B:$I,E$3,0))</f>
        <v>0.008</v>
      </c>
      <c r="F160" t="str">
        <f>PROPER(VLOOKUP($B160, Sheet3!$B:$I,F$3,0))</f>
        <v>-0.008</v>
      </c>
      <c r="G160" t="str">
        <f>PROPER(VLOOKUP($B160, Sheet3!$B:$I,G$3,0))</f>
        <v>-0.139</v>
      </c>
      <c r="H160" t="str">
        <f>PROPER(VLOOKUP($B160, Sheet3!$B:$I,H$3,0))</f>
        <v>$2,824,257</v>
      </c>
      <c r="I160" t="str">
        <f>PROPER(VLOOKUP($B160, Sheet3!$B:$I,I$3,0))</f>
        <v>$415,417,051</v>
      </c>
      <c r="J160" t="str">
        <f t="shared" si="8"/>
        <v>0.501219</v>
      </c>
      <c r="K160">
        <f t="shared" si="6"/>
        <v>-0.8</v>
      </c>
    </row>
    <row r="161" spans="1:11" ht="22" customHeight="1" x14ac:dyDescent="0.2">
      <c r="A161" s="29" t="str">
        <f t="shared" si="7"/>
        <v>ETN</v>
      </c>
      <c r="B161" s="8">
        <v>157</v>
      </c>
      <c r="C161" t="str">
        <f>PROPER(VLOOKUP($B161, Sheet3!$B:$I,C$3,0))</f>
        <v>Electroneum (Etn)</v>
      </c>
      <c r="D161" t="str">
        <f>PROPER(VLOOKUP($B161, Sheet3!$B:$I,D$3,0))</f>
        <v>$0.022744714064</v>
      </c>
      <c r="E161" t="str">
        <f>PROPER(VLOOKUP($B161, Sheet3!$B:$I,E$3,0))</f>
        <v>-0.016</v>
      </c>
      <c r="F161" t="str">
        <f>PROPER(VLOOKUP($B161, Sheet3!$B:$I,F$3,0))</f>
        <v>0.048</v>
      </c>
      <c r="G161" t="str">
        <f>PROPER(VLOOKUP($B161, Sheet3!$B:$I,G$3,0))</f>
        <v>0.115</v>
      </c>
      <c r="H161" t="str">
        <f>PROPER(VLOOKUP($B161, Sheet3!$B:$I,H$3,0))</f>
        <v>$1,738,187</v>
      </c>
      <c r="I161" t="str">
        <f>PROPER(VLOOKUP($B161, Sheet3!$B:$I,I$3,0))</f>
        <v>$413,776,432</v>
      </c>
      <c r="J161" t="str">
        <f t="shared" si="8"/>
        <v>0.022744714064</v>
      </c>
      <c r="K161">
        <f t="shared" si="6"/>
        <v>4.8</v>
      </c>
    </row>
    <row r="162" spans="1:11" ht="22" customHeight="1" x14ac:dyDescent="0.2">
      <c r="A162" s="29" t="str">
        <f t="shared" si="7"/>
        <v>WOO</v>
      </c>
      <c r="B162" s="8">
        <v>158</v>
      </c>
      <c r="C162" t="str">
        <f>PROPER(VLOOKUP($B162, Sheet3!$B:$I,C$3,0))</f>
        <v>Woo Network (Woo)</v>
      </c>
      <c r="D162" t="str">
        <f>PROPER(VLOOKUP($B162, Sheet3!$B:$I,D$3,0))</f>
        <v>$0.780903</v>
      </c>
      <c r="E162" t="str">
        <f>PROPER(VLOOKUP($B162, Sheet3!$B:$I,E$3,0))</f>
        <v>-0.013</v>
      </c>
      <c r="F162" t="str">
        <f>PROPER(VLOOKUP($B162, Sheet3!$B:$I,F$3,0))</f>
        <v>-0.027</v>
      </c>
      <c r="G162" t="str">
        <f>PROPER(VLOOKUP($B162, Sheet3!$B:$I,G$3,0))</f>
        <v>0.729</v>
      </c>
      <c r="H162" t="str">
        <f>PROPER(VLOOKUP($B162, Sheet3!$B:$I,H$3,0))</f>
        <v>$76,633,819</v>
      </c>
      <c r="I162" t="str">
        <f>PROPER(VLOOKUP($B162, Sheet3!$B:$I,I$3,0))</f>
        <v>$403,522,962</v>
      </c>
      <c r="J162" t="str">
        <f t="shared" si="8"/>
        <v>0.780903</v>
      </c>
      <c r="K162">
        <f t="shared" si="6"/>
        <v>-2.7</v>
      </c>
    </row>
    <row r="163" spans="1:11" ht="22" customHeight="1" x14ac:dyDescent="0.2">
      <c r="A163" s="29" t="str">
        <f t="shared" si="7"/>
        <v>ARRR</v>
      </c>
      <c r="B163" s="8">
        <v>159</v>
      </c>
      <c r="C163" t="str">
        <f>PROPER(VLOOKUP($B163, Sheet3!$B:$I,C$3,0))</f>
        <v>Pirate Chain (Arrr)</v>
      </c>
      <c r="D163" t="str">
        <f>PROPER(VLOOKUP($B163, Sheet3!$B:$I,D$3,0))</f>
        <v>$2.14</v>
      </c>
      <c r="E163" t="str">
        <f>PROPER(VLOOKUP($B163, Sheet3!$B:$I,E$3,0))</f>
        <v>0.004</v>
      </c>
      <c r="F163" t="str">
        <f>PROPER(VLOOKUP($B163, Sheet3!$B:$I,F$3,0))</f>
        <v>-0.027</v>
      </c>
      <c r="G163" t="str">
        <f>PROPER(VLOOKUP($B163, Sheet3!$B:$I,G$3,0))</f>
        <v>0.015</v>
      </c>
      <c r="H163" t="str">
        <f>PROPER(VLOOKUP($B163, Sheet3!$B:$I,H$3,0))</f>
        <v>$1,422,164</v>
      </c>
      <c r="I163" t="str">
        <f>PROPER(VLOOKUP($B163, Sheet3!$B:$I,I$3,0))</f>
        <v>$398,715,133</v>
      </c>
      <c r="J163" t="str">
        <f t="shared" si="8"/>
        <v>2.14</v>
      </c>
      <c r="K163">
        <f t="shared" si="6"/>
        <v>-2.7</v>
      </c>
    </row>
    <row r="164" spans="1:11" ht="22" customHeight="1" x14ac:dyDescent="0.2">
      <c r="A164" s="29" t="str">
        <f t="shared" si="7"/>
        <v>DENT</v>
      </c>
      <c r="B164" s="8">
        <v>160</v>
      </c>
      <c r="C164" t="str">
        <f>PROPER(VLOOKUP($B164, Sheet3!$B:$I,C$3,0))</f>
        <v>Dent (Dent)</v>
      </c>
      <c r="D164" t="str">
        <f>PROPER(VLOOKUP($B164, Sheet3!$B:$I,D$3,0))</f>
        <v>$0.004108617339</v>
      </c>
      <c r="E164" t="str">
        <f>PROPER(VLOOKUP($B164, Sheet3!$B:$I,E$3,0))</f>
        <v>-0.005</v>
      </c>
      <c r="F164" t="str">
        <f>PROPER(VLOOKUP($B164, Sheet3!$B:$I,F$3,0))</f>
        <v>-0.076</v>
      </c>
      <c r="G164" t="str">
        <f>PROPER(VLOOKUP($B164, Sheet3!$B:$I,G$3,0))</f>
        <v>0.141</v>
      </c>
      <c r="H164" t="str">
        <f>PROPER(VLOOKUP($B164, Sheet3!$B:$I,H$3,0))</f>
        <v>$46,139,137</v>
      </c>
      <c r="I164" t="str">
        <f>PROPER(VLOOKUP($B164, Sheet3!$B:$I,I$3,0))</f>
        <v>$392,990,583</v>
      </c>
      <c r="J164" t="str">
        <f t="shared" si="8"/>
        <v>0.004108617339</v>
      </c>
      <c r="K164">
        <f t="shared" si="6"/>
        <v>-7.6</v>
      </c>
    </row>
    <row r="165" spans="1:11" ht="22" customHeight="1" x14ac:dyDescent="0.2">
      <c r="A165" s="29" t="str">
        <f t="shared" si="7"/>
        <v>XPRT</v>
      </c>
      <c r="B165" s="8">
        <v>161</v>
      </c>
      <c r="C165" t="str">
        <f>PROPER(VLOOKUP($B165, Sheet3!$B:$I,C$3,0))</f>
        <v>Persistence (Xprt)</v>
      </c>
      <c r="D165" t="str">
        <f>PROPER(VLOOKUP($B165, Sheet3!$B:$I,D$3,0))</f>
        <v>$7.73</v>
      </c>
      <c r="E165" t="str">
        <f>PROPER(VLOOKUP($B165, Sheet3!$B:$I,E$3,0))</f>
        <v>0.001</v>
      </c>
      <c r="F165" t="str">
        <f>PROPER(VLOOKUP($B165, Sheet3!$B:$I,F$3,0))</f>
        <v>-0.018</v>
      </c>
      <c r="G165" t="str">
        <f>PROPER(VLOOKUP($B165, Sheet3!$B:$I,G$3,0))</f>
        <v>-0.146</v>
      </c>
      <c r="H165" t="str">
        <f>PROPER(VLOOKUP($B165, Sheet3!$B:$I,H$3,0))</f>
        <v>$4,429,928</v>
      </c>
      <c r="I165" t="str">
        <f>PROPER(VLOOKUP($B165, Sheet3!$B:$I,I$3,0))</f>
        <v>$396,662,689</v>
      </c>
      <c r="J165" t="str">
        <f t="shared" si="8"/>
        <v>7.73</v>
      </c>
      <c r="K165">
        <f t="shared" si="6"/>
        <v>-1.7999999999999998</v>
      </c>
    </row>
    <row r="166" spans="1:11" ht="22" customHeight="1" x14ac:dyDescent="0.2">
      <c r="A166" s="29" t="str">
        <f t="shared" si="7"/>
        <v>LPT</v>
      </c>
      <c r="B166" s="8">
        <v>162</v>
      </c>
      <c r="C166" t="str">
        <f>PROPER(VLOOKUP($B166, Sheet3!$B:$I,C$3,0))</f>
        <v>Livepeer (Lpt)</v>
      </c>
      <c r="D166" t="str">
        <f>PROPER(VLOOKUP($B166, Sheet3!$B:$I,D$3,0))</f>
        <v>$16.34</v>
      </c>
      <c r="E166" t="str">
        <f>PROPER(VLOOKUP($B166, Sheet3!$B:$I,E$3,0))</f>
        <v>0</v>
      </c>
      <c r="F166" t="str">
        <f>PROPER(VLOOKUP($B166, Sheet3!$B:$I,F$3,0))</f>
        <v>-0.012</v>
      </c>
      <c r="G166" t="str">
        <f>PROPER(VLOOKUP($B166, Sheet3!$B:$I,G$3,0))</f>
        <v>0.042</v>
      </c>
      <c r="H166" t="str">
        <f>PROPER(VLOOKUP($B166, Sheet3!$B:$I,H$3,0))</f>
        <v>$27,761,198</v>
      </c>
      <c r="I166" t="str">
        <f>PROPER(VLOOKUP($B166, Sheet3!$B:$I,I$3,0))</f>
        <v>$396,007,863</v>
      </c>
      <c r="J166" t="str">
        <f t="shared" si="8"/>
        <v>16.34</v>
      </c>
      <c r="K166">
        <f t="shared" si="6"/>
        <v>-1.2</v>
      </c>
    </row>
    <row r="167" spans="1:11" ht="22" customHeight="1" x14ac:dyDescent="0.2">
      <c r="A167" s="29" t="str">
        <f t="shared" si="7"/>
        <v>UBT</v>
      </c>
      <c r="B167" s="8">
        <v>163</v>
      </c>
      <c r="C167" t="str">
        <f>PROPER(VLOOKUP($B167, Sheet3!$B:$I,C$3,0))</f>
        <v>Unibright (Ubt)</v>
      </c>
      <c r="D167" t="str">
        <f>PROPER(VLOOKUP($B167, Sheet3!$B:$I,D$3,0))</f>
        <v>$2.57</v>
      </c>
      <c r="E167" t="str">
        <f>PROPER(VLOOKUP($B167, Sheet3!$B:$I,E$3,0))</f>
        <v>-0.01</v>
      </c>
      <c r="F167" t="str">
        <f>PROPER(VLOOKUP($B167, Sheet3!$B:$I,F$3,0))</f>
        <v>-0.064</v>
      </c>
      <c r="G167" t="str">
        <f>PROPER(VLOOKUP($B167, Sheet3!$B:$I,G$3,0))</f>
        <v>-0.02</v>
      </c>
      <c r="H167" t="str">
        <f>PROPER(VLOOKUP($B167, Sheet3!$B:$I,H$3,0))</f>
        <v>$1,965,748</v>
      </c>
      <c r="I167" t="str">
        <f>PROPER(VLOOKUP($B167, Sheet3!$B:$I,I$3,0))</f>
        <v>$389,810,609</v>
      </c>
      <c r="J167" t="str">
        <f t="shared" si="8"/>
        <v>2.57</v>
      </c>
      <c r="K167">
        <f t="shared" si="6"/>
        <v>-6.4</v>
      </c>
    </row>
    <row r="168" spans="1:11" ht="22" customHeight="1" x14ac:dyDescent="0.2">
      <c r="A168" s="29" t="str">
        <f t="shared" si="7"/>
        <v>LSK</v>
      </c>
      <c r="B168" s="8">
        <v>164</v>
      </c>
      <c r="C168" t="str">
        <f>PROPER(VLOOKUP($B168, Sheet3!$B:$I,C$3,0))</f>
        <v>Lisk (Lsk)</v>
      </c>
      <c r="D168" t="str">
        <f>PROPER(VLOOKUP($B168, Sheet3!$B:$I,D$3,0))</f>
        <v>$2.63</v>
      </c>
      <c r="E168" t="str">
        <f>PROPER(VLOOKUP($B168, Sheet3!$B:$I,E$3,0))</f>
        <v>-0.004</v>
      </c>
      <c r="F168" t="str">
        <f>PROPER(VLOOKUP($B168, Sheet3!$B:$I,F$3,0))</f>
        <v>0.003</v>
      </c>
      <c r="G168" t="str">
        <f>PROPER(VLOOKUP($B168, Sheet3!$B:$I,G$3,0))</f>
        <v>-0.044</v>
      </c>
      <c r="H168" t="str">
        <f>PROPER(VLOOKUP($B168, Sheet3!$B:$I,H$3,0))</f>
        <v>$8,310,762</v>
      </c>
      <c r="I168" t="str">
        <f>PROPER(VLOOKUP($B168, Sheet3!$B:$I,I$3,0))</f>
        <v>$384,141,349</v>
      </c>
      <c r="J168" t="str">
        <f t="shared" si="8"/>
        <v>2.63</v>
      </c>
      <c r="K168">
        <f t="shared" si="6"/>
        <v>0.3</v>
      </c>
    </row>
    <row r="169" spans="1:11" ht="22" customHeight="1" x14ac:dyDescent="0.2">
      <c r="A169" s="29" t="str">
        <f t="shared" si="7"/>
        <v>SXP</v>
      </c>
      <c r="B169" s="8">
        <v>165</v>
      </c>
      <c r="C169" t="str">
        <f>PROPER(VLOOKUP($B169, Sheet3!$B:$I,C$3,0))</f>
        <v>Swipe (Sxp)</v>
      </c>
      <c r="D169" t="str">
        <f>PROPER(VLOOKUP($B169, Sheet3!$B:$I,D$3,0))</f>
        <v>$2.04</v>
      </c>
      <c r="E169" t="str">
        <f>PROPER(VLOOKUP($B169, Sheet3!$B:$I,E$3,0))</f>
        <v>0</v>
      </c>
      <c r="F169" t="str">
        <f>PROPER(VLOOKUP($B169, Sheet3!$B:$I,F$3,0))</f>
        <v>-0.005</v>
      </c>
      <c r="G169" t="str">
        <f>PROPER(VLOOKUP($B169, Sheet3!$B:$I,G$3,0))</f>
        <v>0.024</v>
      </c>
      <c r="H169" t="str">
        <f>PROPER(VLOOKUP($B169, Sheet3!$B:$I,H$3,0))</f>
        <v>$85,009,319</v>
      </c>
      <c r="I169" t="str">
        <f>PROPER(VLOOKUP($B169, Sheet3!$B:$I,I$3,0))</f>
        <v>$382,366,322</v>
      </c>
      <c r="J169" t="str">
        <f t="shared" si="8"/>
        <v>2.04</v>
      </c>
      <c r="K169">
        <f t="shared" si="6"/>
        <v>-0.5</v>
      </c>
    </row>
    <row r="170" spans="1:11" ht="22" customHeight="1" x14ac:dyDescent="0.2">
      <c r="A170" s="29" t="str">
        <f t="shared" si="7"/>
        <v>RSR</v>
      </c>
      <c r="B170" s="8">
        <v>166</v>
      </c>
      <c r="C170" t="str">
        <f>PROPER(VLOOKUP($B170, Sheet3!$B:$I,C$3,0))</f>
        <v>Reserve Rights Token (Rsr)</v>
      </c>
      <c r="D170" t="str">
        <f>PROPER(VLOOKUP($B170, Sheet3!$B:$I,D$3,0))</f>
        <v>$0.027791260163</v>
      </c>
      <c r="E170" t="str">
        <f>PROPER(VLOOKUP($B170, Sheet3!$B:$I,E$3,0))</f>
        <v>-0.004</v>
      </c>
      <c r="F170" t="str">
        <f>PROPER(VLOOKUP($B170, Sheet3!$B:$I,F$3,0))</f>
        <v>-0.014</v>
      </c>
      <c r="G170" t="str">
        <f>PROPER(VLOOKUP($B170, Sheet3!$B:$I,G$3,0))</f>
        <v>0.006</v>
      </c>
      <c r="H170" t="str">
        <f>PROPER(VLOOKUP($B170, Sheet3!$B:$I,H$3,0))</f>
        <v>$39,421,031</v>
      </c>
      <c r="I170" t="str">
        <f>PROPER(VLOOKUP($B170, Sheet3!$B:$I,I$3,0))</f>
        <v>$365,755,032</v>
      </c>
      <c r="J170" t="str">
        <f t="shared" si="8"/>
        <v>0.027791260163</v>
      </c>
      <c r="K170">
        <f t="shared" si="6"/>
        <v>-1.4000000000000001</v>
      </c>
    </row>
    <row r="171" spans="1:11" ht="22" customHeight="1" x14ac:dyDescent="0.2">
      <c r="A171" s="29" t="str">
        <f t="shared" si="7"/>
        <v>AKT</v>
      </c>
      <c r="B171" s="8">
        <v>167</v>
      </c>
      <c r="C171" t="str">
        <f>PROPER(VLOOKUP($B171, Sheet3!$B:$I,C$3,0))</f>
        <v>Akash Network (Akt)</v>
      </c>
      <c r="D171" t="str">
        <f>PROPER(VLOOKUP($B171, Sheet3!$B:$I,D$3,0))</f>
        <v>$3.24</v>
      </c>
      <c r="E171" t="str">
        <f>PROPER(VLOOKUP($B171, Sheet3!$B:$I,E$3,0))</f>
        <v>-0.02</v>
      </c>
      <c r="F171" t="str">
        <f>PROPER(VLOOKUP($B171, Sheet3!$B:$I,F$3,0))</f>
        <v>-0.064</v>
      </c>
      <c r="G171" t="str">
        <f>PROPER(VLOOKUP($B171, Sheet3!$B:$I,G$3,0))</f>
        <v>-0.145</v>
      </c>
      <c r="H171" t="str">
        <f>PROPER(VLOOKUP($B171, Sheet3!$B:$I,H$3,0))</f>
        <v>$3,215,317</v>
      </c>
      <c r="I171" t="str">
        <f>PROPER(VLOOKUP($B171, Sheet3!$B:$I,I$3,0))</f>
        <v>$356,744,804</v>
      </c>
      <c r="J171" t="str">
        <f t="shared" si="8"/>
        <v>3.24</v>
      </c>
      <c r="K171">
        <f t="shared" si="6"/>
        <v>-6.4</v>
      </c>
    </row>
    <row r="172" spans="1:11" ht="22" customHeight="1" x14ac:dyDescent="0.2">
      <c r="A172" s="29" t="str">
        <f t="shared" si="7"/>
        <v>WAXP</v>
      </c>
      <c r="B172" s="8">
        <v>168</v>
      </c>
      <c r="C172" t="str">
        <f>PROPER(VLOOKUP($B172, Sheet3!$B:$I,C$3,0))</f>
        <v>Wax (Waxp)</v>
      </c>
      <c r="D172" t="str">
        <f>PROPER(VLOOKUP($B172, Sheet3!$B:$I,D$3,0))</f>
        <v>$0.198588</v>
      </c>
      <c r="E172" t="str">
        <f>PROPER(VLOOKUP($B172, Sheet3!$B:$I,E$3,0))</f>
        <v>-0.024</v>
      </c>
      <c r="F172" t="str">
        <f>PROPER(VLOOKUP($B172, Sheet3!$B:$I,F$3,0))</f>
        <v>-0.026</v>
      </c>
      <c r="G172" t="str">
        <f>PROPER(VLOOKUP($B172, Sheet3!$B:$I,G$3,0))</f>
        <v>-0.023</v>
      </c>
      <c r="H172" t="str">
        <f>PROPER(VLOOKUP($B172, Sheet3!$B:$I,H$3,0))</f>
        <v>$15,032,394</v>
      </c>
      <c r="I172" t="str">
        <f>PROPER(VLOOKUP($B172, Sheet3!$B:$I,I$3,0))</f>
        <v>$358,604,546</v>
      </c>
      <c r="J172" t="str">
        <f t="shared" si="8"/>
        <v>0.198588</v>
      </c>
      <c r="K172">
        <f t="shared" si="6"/>
        <v>-2.6</v>
      </c>
    </row>
    <row r="173" spans="1:11" ht="22" customHeight="1" x14ac:dyDescent="0.2">
      <c r="A173" s="29" t="str">
        <f t="shared" si="7"/>
        <v>GNO</v>
      </c>
      <c r="B173" s="8">
        <v>169</v>
      </c>
      <c r="C173" t="str">
        <f>PROPER(VLOOKUP($B173, Sheet3!$B:$I,C$3,0))</f>
        <v>Gnosis (Gno)</v>
      </c>
      <c r="D173" t="str">
        <f>PROPER(VLOOKUP($B173, Sheet3!$B:$I,D$3,0))</f>
        <v>$236.35</v>
      </c>
      <c r="E173" t="str">
        <f>PROPER(VLOOKUP($B173, Sheet3!$B:$I,E$3,0))</f>
        <v>-0.004</v>
      </c>
      <c r="F173" t="str">
        <f>PROPER(VLOOKUP($B173, Sheet3!$B:$I,F$3,0))</f>
        <v>-0.001</v>
      </c>
      <c r="G173" t="str">
        <f>PROPER(VLOOKUP($B173, Sheet3!$B:$I,G$3,0))</f>
        <v>0.009</v>
      </c>
      <c r="H173" t="str">
        <f>PROPER(VLOOKUP($B173, Sheet3!$B:$I,H$3,0))</f>
        <v>$5,754,829</v>
      </c>
      <c r="I173" t="str">
        <f>PROPER(VLOOKUP($B173, Sheet3!$B:$I,I$3,0))</f>
        <v>$356,917,896</v>
      </c>
      <c r="J173" t="str">
        <f t="shared" si="8"/>
        <v>236.35</v>
      </c>
      <c r="K173">
        <f t="shared" si="6"/>
        <v>-0.1</v>
      </c>
    </row>
    <row r="174" spans="1:11" ht="22" customHeight="1" x14ac:dyDescent="0.2">
      <c r="A174" s="29" t="str">
        <f t="shared" si="7"/>
        <v>SETH</v>
      </c>
      <c r="B174" s="8">
        <v>170</v>
      </c>
      <c r="C174" t="str">
        <f>PROPER(VLOOKUP($B174, Sheet3!$B:$I,C$3,0))</f>
        <v>Seth (Seth)</v>
      </c>
      <c r="D174" t="str">
        <f>PROPER(VLOOKUP($B174, Sheet3!$B:$I,D$3,0))</f>
        <v>$2,819.33</v>
      </c>
      <c r="E174" t="str">
        <f>PROPER(VLOOKUP($B174, Sheet3!$B:$I,E$3,0))</f>
        <v>-0.006</v>
      </c>
      <c r="F174" t="str">
        <f>PROPER(VLOOKUP($B174, Sheet3!$B:$I,F$3,0))</f>
        <v>-0.021</v>
      </c>
      <c r="G174" t="str">
        <f>PROPER(VLOOKUP($B174, Sheet3!$B:$I,G$3,0))</f>
        <v>0.123</v>
      </c>
      <c r="H174" t="str">
        <f>PROPER(VLOOKUP($B174, Sheet3!$B:$I,H$3,0))</f>
        <v>$11,702,540</v>
      </c>
      <c r="I174" t="str">
        <f>PROPER(VLOOKUP($B174, Sheet3!$B:$I,I$3,0))</f>
        <v>$347,281,059</v>
      </c>
      <c r="J174" t="str">
        <f t="shared" si="8"/>
        <v>2,819.33</v>
      </c>
      <c r="K174">
        <f t="shared" si="6"/>
        <v>-2.1</v>
      </c>
    </row>
    <row r="175" spans="1:11" ht="22" customHeight="1" x14ac:dyDescent="0.2">
      <c r="A175" s="29" t="str">
        <f t="shared" si="7"/>
        <v>FRAX</v>
      </c>
      <c r="B175" s="8">
        <v>171</v>
      </c>
      <c r="C175" t="str">
        <f>PROPER(VLOOKUP($B175, Sheet3!$B:$I,C$3,0))</f>
        <v>Frax (Frax)</v>
      </c>
      <c r="D175" t="str">
        <f>PROPER(VLOOKUP($B175, Sheet3!$B:$I,D$3,0))</f>
        <v>$1.00</v>
      </c>
      <c r="E175" t="str">
        <f>PROPER(VLOOKUP($B175, Sheet3!$B:$I,E$3,0))</f>
        <v>0.014</v>
      </c>
      <c r="F175" t="str">
        <f>PROPER(VLOOKUP($B175, Sheet3!$B:$I,F$3,0))</f>
        <v>0.001</v>
      </c>
      <c r="G175" t="str">
        <f>PROPER(VLOOKUP($B175, Sheet3!$B:$I,G$3,0))</f>
        <v>0.009</v>
      </c>
      <c r="H175" t="str">
        <f>PROPER(VLOOKUP($B175, Sheet3!$B:$I,H$3,0))</f>
        <v>$9,609,946</v>
      </c>
      <c r="I175" t="str">
        <f>PROPER(VLOOKUP($B175, Sheet3!$B:$I,I$3,0))</f>
        <v>$346,654,810</v>
      </c>
      <c r="J175" t="str">
        <f t="shared" si="8"/>
        <v>1.00</v>
      </c>
      <c r="K175">
        <f t="shared" si="6"/>
        <v>0.1</v>
      </c>
    </row>
    <row r="176" spans="1:11" ht="22" customHeight="1" x14ac:dyDescent="0.2">
      <c r="A176" s="29" t="str">
        <f t="shared" si="7"/>
        <v>PLEX</v>
      </c>
      <c r="B176" s="8">
        <v>172</v>
      </c>
      <c r="C176" t="str">
        <f>PROPER(VLOOKUP($B176, Sheet3!$B:$I,C$3,0))</f>
        <v>Plex (Plex)</v>
      </c>
      <c r="D176" t="str">
        <f>PROPER(VLOOKUP($B176, Sheet3!$B:$I,D$3,0))</f>
        <v>$1.69</v>
      </c>
      <c r="E176" t="str">
        <f>PROPER(VLOOKUP($B176, Sheet3!$B:$I,E$3,0))</f>
        <v>0.007</v>
      </c>
      <c r="F176" t="str">
        <f>PROPER(VLOOKUP($B176, Sheet3!$B:$I,F$3,0))</f>
        <v>-0.026</v>
      </c>
      <c r="G176" t="str">
        <f>PROPER(VLOOKUP($B176, Sheet3!$B:$I,G$3,0))</f>
        <v>0.088</v>
      </c>
      <c r="H176" t="str">
        <f>PROPER(VLOOKUP($B176, Sheet3!$B:$I,H$3,0))</f>
        <v>$34,175,736</v>
      </c>
      <c r="I176" t="str">
        <f>PROPER(VLOOKUP($B176, Sheet3!$B:$I,I$3,0))</f>
        <v>$344,725,068</v>
      </c>
      <c r="J176" t="str">
        <f t="shared" si="8"/>
        <v>1.69</v>
      </c>
      <c r="K176">
        <f t="shared" si="6"/>
        <v>-2.6</v>
      </c>
    </row>
    <row r="177" spans="1:11" ht="22" customHeight="1" x14ac:dyDescent="0.2">
      <c r="A177" s="29" t="str">
        <f t="shared" si="7"/>
        <v>CKB</v>
      </c>
      <c r="B177" s="8">
        <v>173</v>
      </c>
      <c r="C177" t="str">
        <f>PROPER(VLOOKUP($B177, Sheet3!$B:$I,C$3,0))</f>
        <v>Nervos Network (Ckb)</v>
      </c>
      <c r="D177" t="str">
        <f>PROPER(VLOOKUP($B177, Sheet3!$B:$I,D$3,0))</f>
        <v>$0.012248262816</v>
      </c>
      <c r="E177" t="str">
        <f>PROPER(VLOOKUP($B177, Sheet3!$B:$I,E$3,0))</f>
        <v>0</v>
      </c>
      <c r="F177" t="str">
        <f>PROPER(VLOOKUP($B177, Sheet3!$B:$I,F$3,0))</f>
        <v>0.058</v>
      </c>
      <c r="G177" t="str">
        <f>PROPER(VLOOKUP($B177, Sheet3!$B:$I,G$3,0))</f>
        <v>-0.011</v>
      </c>
      <c r="H177" t="str">
        <f>PROPER(VLOOKUP($B177, Sheet3!$B:$I,H$3,0))</f>
        <v>$83,928,009</v>
      </c>
      <c r="I177" t="str">
        <f>PROPER(VLOOKUP($B177, Sheet3!$B:$I,I$3,0))</f>
        <v>$343,118,610</v>
      </c>
      <c r="J177" t="str">
        <f t="shared" si="8"/>
        <v>0.012248262816</v>
      </c>
      <c r="K177">
        <f t="shared" si="6"/>
        <v>5.8000000000000007</v>
      </c>
    </row>
    <row r="178" spans="1:11" ht="22" customHeight="1" x14ac:dyDescent="0.2">
      <c r="A178" s="29" t="str">
        <f t="shared" si="7"/>
        <v>ALPHA</v>
      </c>
      <c r="B178" s="8">
        <v>174</v>
      </c>
      <c r="C178" t="str">
        <f>PROPER(VLOOKUP($B178, Sheet3!$B:$I,C$3,0))</f>
        <v>Alpha Finance (Alpha)</v>
      </c>
      <c r="D178" t="str">
        <f>PROPER(VLOOKUP($B178, Sheet3!$B:$I,D$3,0))</f>
        <v>$0.820928</v>
      </c>
      <c r="E178" t="str">
        <f>PROPER(VLOOKUP($B178, Sheet3!$B:$I,E$3,0))</f>
        <v>-0.023</v>
      </c>
      <c r="F178" t="str">
        <f>PROPER(VLOOKUP($B178, Sheet3!$B:$I,F$3,0))</f>
        <v>0.013</v>
      </c>
      <c r="G178" t="str">
        <f>PROPER(VLOOKUP($B178, Sheet3!$B:$I,G$3,0))</f>
        <v>0.021</v>
      </c>
      <c r="H178" t="str">
        <f>PROPER(VLOOKUP($B178, Sheet3!$B:$I,H$3,0))</f>
        <v>$36,080,743</v>
      </c>
      <c r="I178" t="str">
        <f>PROPER(VLOOKUP($B178, Sheet3!$B:$I,I$3,0))</f>
        <v>$333,567,633</v>
      </c>
      <c r="J178" t="str">
        <f t="shared" si="8"/>
        <v>0.820928</v>
      </c>
      <c r="K178">
        <f t="shared" si="6"/>
        <v>1.3</v>
      </c>
    </row>
    <row r="179" spans="1:11" ht="22" customHeight="1" x14ac:dyDescent="0.2">
      <c r="A179" s="29" t="str">
        <f t="shared" si="7"/>
        <v>SKL</v>
      </c>
      <c r="B179" s="8">
        <v>175</v>
      </c>
      <c r="C179" t="str">
        <f>PROPER(VLOOKUP($B179, Sheet3!$B:$I,C$3,0))</f>
        <v>Skale (Skl)</v>
      </c>
      <c r="D179" t="str">
        <f>PROPER(VLOOKUP($B179, Sheet3!$B:$I,D$3,0))</f>
        <v>$0.274190</v>
      </c>
      <c r="E179" t="str">
        <f>PROPER(VLOOKUP($B179, Sheet3!$B:$I,E$3,0))</f>
        <v>0.006</v>
      </c>
      <c r="F179" t="str">
        <f>PROPER(VLOOKUP($B179, Sheet3!$B:$I,F$3,0))</f>
        <v>0.002</v>
      </c>
      <c r="G179" t="str">
        <f>PROPER(VLOOKUP($B179, Sheet3!$B:$I,G$3,0))</f>
        <v>-0.112</v>
      </c>
      <c r="H179" t="str">
        <f>PROPER(VLOOKUP($B179, Sheet3!$B:$I,H$3,0))</f>
        <v>$26,639,623</v>
      </c>
      <c r="I179" t="str">
        <f>PROPER(VLOOKUP($B179, Sheet3!$B:$I,I$3,0))</f>
        <v>$340,370,422</v>
      </c>
      <c r="J179" t="str">
        <f t="shared" si="8"/>
        <v>0.274190</v>
      </c>
      <c r="K179">
        <f t="shared" si="6"/>
        <v>0.2</v>
      </c>
    </row>
    <row r="180" spans="1:11" ht="22" customHeight="1" x14ac:dyDescent="0.2">
      <c r="A180" s="29" t="str">
        <f t="shared" si="7"/>
        <v>ANC</v>
      </c>
      <c r="B180" s="8">
        <v>176</v>
      </c>
      <c r="C180" t="str">
        <f>PROPER(VLOOKUP($B180, Sheet3!$B:$I,C$3,0))</f>
        <v>Anchor Protocol (Anc)</v>
      </c>
      <c r="D180" t="str">
        <f>PROPER(VLOOKUP($B180, Sheet3!$B:$I,D$3,0))</f>
        <v>$2.76</v>
      </c>
      <c r="E180" t="str">
        <f>PROPER(VLOOKUP($B180, Sheet3!$B:$I,E$3,0))</f>
        <v>-0.002</v>
      </c>
      <c r="F180" t="str">
        <f>PROPER(VLOOKUP($B180, Sheet3!$B:$I,F$3,0))</f>
        <v>-0.007</v>
      </c>
      <c r="G180" t="str">
        <f>PROPER(VLOOKUP($B180, Sheet3!$B:$I,G$3,0))</f>
        <v>0.029</v>
      </c>
      <c r="H180" t="str">
        <f>PROPER(VLOOKUP($B180, Sheet3!$B:$I,H$3,0))</f>
        <v>$6,347,440</v>
      </c>
      <c r="I180" t="str">
        <f>PROPER(VLOOKUP($B180, Sheet3!$B:$I,I$3,0))</f>
        <v>$335,244,876</v>
      </c>
      <c r="J180" t="str">
        <f t="shared" si="8"/>
        <v>2.76</v>
      </c>
      <c r="K180">
        <f t="shared" si="6"/>
        <v>-0.70000000000000007</v>
      </c>
    </row>
    <row r="181" spans="1:11" ht="22" customHeight="1" x14ac:dyDescent="0.2">
      <c r="A181" s="29" t="str">
        <f t="shared" si="7"/>
        <v>VTHO</v>
      </c>
      <c r="B181" s="8">
        <v>177</v>
      </c>
      <c r="C181" t="str">
        <f>PROPER(VLOOKUP($B181, Sheet3!$B:$I,C$3,0))</f>
        <v>Vethor Token (Vtho)</v>
      </c>
      <c r="D181" t="str">
        <f>PROPER(VLOOKUP($B181, Sheet3!$B:$I,D$3,0))</f>
        <v>$0.008090888674</v>
      </c>
      <c r="E181" t="str">
        <f>PROPER(VLOOKUP($B181, Sheet3!$B:$I,E$3,0))</f>
        <v>0.005</v>
      </c>
      <c r="F181" t="str">
        <f>PROPER(VLOOKUP($B181, Sheet3!$B:$I,F$3,0))</f>
        <v>0.05</v>
      </c>
      <c r="G181" t="str">
        <f>PROPER(VLOOKUP($B181, Sheet3!$B:$I,G$3,0))</f>
        <v>0.016</v>
      </c>
      <c r="H181" t="str">
        <f>PROPER(VLOOKUP($B181, Sheet3!$B:$I,H$3,0))</f>
        <v>$16,091,906</v>
      </c>
      <c r="I181" t="str">
        <f>PROPER(VLOOKUP($B181, Sheet3!$B:$I,I$3,0))</f>
        <v>$326,347,617</v>
      </c>
      <c r="J181" t="str">
        <f t="shared" si="8"/>
        <v>0.008090888674</v>
      </c>
      <c r="K181">
        <f t="shared" si="6"/>
        <v>5</v>
      </c>
    </row>
    <row r="182" spans="1:11" ht="22" customHeight="1" x14ac:dyDescent="0.2">
      <c r="A182" s="29" t="str">
        <f t="shared" si="7"/>
        <v>TWT</v>
      </c>
      <c r="B182" s="8">
        <v>178</v>
      </c>
      <c r="C182" t="str">
        <f>PROPER(VLOOKUP($B182, Sheet3!$B:$I,C$3,0))</f>
        <v>Trust Wallet Token (Twt)</v>
      </c>
      <c r="D182" t="str">
        <f>PROPER(VLOOKUP($B182, Sheet3!$B:$I,D$3,0))</f>
        <v>$0.934362</v>
      </c>
      <c r="E182" t="str">
        <f>PROPER(VLOOKUP($B182, Sheet3!$B:$I,E$3,0))</f>
        <v>0.011</v>
      </c>
      <c r="F182" t="str">
        <f>PROPER(VLOOKUP($B182, Sheet3!$B:$I,F$3,0))</f>
        <v>0.02</v>
      </c>
      <c r="G182" t="str">
        <f>PROPER(VLOOKUP($B182, Sheet3!$B:$I,G$3,0))</f>
        <v>-0.069</v>
      </c>
      <c r="H182" t="str">
        <f>PROPER(VLOOKUP($B182, Sheet3!$B:$I,H$3,0))</f>
        <v>$32,075,355</v>
      </c>
      <c r="I182" t="str">
        <f>PROPER(VLOOKUP($B182, Sheet3!$B:$I,I$3,0))</f>
        <v>$320,870,273</v>
      </c>
      <c r="J182" t="str">
        <f t="shared" si="8"/>
        <v>0.934362</v>
      </c>
      <c r="K182">
        <f t="shared" si="6"/>
        <v>2</v>
      </c>
    </row>
    <row r="183" spans="1:11" ht="22" customHeight="1" x14ac:dyDescent="0.2">
      <c r="A183" s="29" t="str">
        <f t="shared" si="7"/>
        <v>XYO</v>
      </c>
      <c r="B183" s="8">
        <v>179</v>
      </c>
      <c r="C183" t="str">
        <f>PROPER(VLOOKUP($B183, Sheet3!$B:$I,C$3,0))</f>
        <v>Xyo Network (Xyo)</v>
      </c>
      <c r="D183" t="str">
        <f>PROPER(VLOOKUP($B183, Sheet3!$B:$I,D$3,0))</f>
        <v>$0.026790288337</v>
      </c>
      <c r="E183" t="str">
        <f>PROPER(VLOOKUP($B183, Sheet3!$B:$I,E$3,0))</f>
        <v>-0.003</v>
      </c>
      <c r="F183" t="str">
        <f>PROPER(VLOOKUP($B183, Sheet3!$B:$I,F$3,0))</f>
        <v>0.027</v>
      </c>
      <c r="G183" t="str">
        <f>PROPER(VLOOKUP($B183, Sheet3!$B:$I,G$3,0))</f>
        <v>-0.04</v>
      </c>
      <c r="H183" t="str">
        <f>PROPER(VLOOKUP($B183, Sheet3!$B:$I,H$3,0))</f>
        <v>$8,410,942</v>
      </c>
      <c r="I183" t="str">
        <f>PROPER(VLOOKUP($B183, Sheet3!$B:$I,I$3,0))</f>
        <v>$320,777,353</v>
      </c>
      <c r="J183" t="str">
        <f t="shared" si="8"/>
        <v>0.026790288337</v>
      </c>
      <c r="K183">
        <f t="shared" si="6"/>
        <v>2.7</v>
      </c>
    </row>
    <row r="184" spans="1:11" ht="22" customHeight="1" x14ac:dyDescent="0.2">
      <c r="A184" s="29" t="str">
        <f t="shared" si="7"/>
        <v>EWT</v>
      </c>
      <c r="B184" s="8">
        <v>180</v>
      </c>
      <c r="C184" t="str">
        <f>PROPER(VLOOKUP($B184, Sheet3!$B:$I,C$3,0))</f>
        <v>Energy Web Token (Ewt)</v>
      </c>
      <c r="D184" t="str">
        <f>PROPER(VLOOKUP($B184, Sheet3!$B:$I,D$3,0))</f>
        <v>$8.11</v>
      </c>
      <c r="E184" t="str">
        <f>PROPER(VLOOKUP($B184, Sheet3!$B:$I,E$3,0))</f>
        <v>0</v>
      </c>
      <c r="F184" t="str">
        <f>PROPER(VLOOKUP($B184, Sheet3!$B:$I,F$3,0))</f>
        <v>-0.041</v>
      </c>
      <c r="G184" t="str">
        <f>PROPER(VLOOKUP($B184, Sheet3!$B:$I,G$3,0))</f>
        <v>0.003</v>
      </c>
      <c r="H184" t="str">
        <f>PROPER(VLOOKUP($B184, Sheet3!$B:$I,H$3,0))</f>
        <v>$1,854,882</v>
      </c>
      <c r="I184" t="str">
        <f>PROPER(VLOOKUP($B184, Sheet3!$B:$I,I$3,0))</f>
        <v>$321,229,667</v>
      </c>
      <c r="J184" t="str">
        <f t="shared" si="8"/>
        <v>8.11</v>
      </c>
      <c r="K184">
        <f t="shared" si="6"/>
        <v>-4.1000000000000005</v>
      </c>
    </row>
    <row r="185" spans="1:11" ht="22" customHeight="1" x14ac:dyDescent="0.2">
      <c r="A185" s="29" t="str">
        <f t="shared" si="7"/>
        <v>XDB</v>
      </c>
      <c r="B185" s="8">
        <v>181</v>
      </c>
      <c r="C185" t="str">
        <f>PROPER(VLOOKUP($B185, Sheet3!$B:$I,C$3,0))</f>
        <v>Digitalbits (Xdb)</v>
      </c>
      <c r="D185" t="str">
        <f>PROPER(VLOOKUP($B185, Sheet3!$B:$I,D$3,0))</f>
        <v>$0.418086</v>
      </c>
      <c r="E185" t="str">
        <f>PROPER(VLOOKUP($B185, Sheet3!$B:$I,E$3,0))</f>
        <v>-0.004</v>
      </c>
      <c r="F185" t="str">
        <f>PROPER(VLOOKUP($B185, Sheet3!$B:$I,F$3,0))</f>
        <v>-0.148</v>
      </c>
      <c r="G185" t="str">
        <f>PROPER(VLOOKUP($B185, Sheet3!$B:$I,G$3,0))</f>
        <v>-0.116</v>
      </c>
      <c r="H185" t="str">
        <f>PROPER(VLOOKUP($B185, Sheet3!$B:$I,H$3,0))</f>
        <v>$3,088,550</v>
      </c>
      <c r="I185" t="str">
        <f>PROPER(VLOOKUP($B185, Sheet3!$B:$I,I$3,0))</f>
        <v>$318,646,493</v>
      </c>
      <c r="J185" t="str">
        <f t="shared" si="8"/>
        <v>0.418086</v>
      </c>
      <c r="K185">
        <f t="shared" si="6"/>
        <v>-14.799999999999999</v>
      </c>
    </row>
    <row r="186" spans="1:11" ht="22" customHeight="1" x14ac:dyDescent="0.2">
      <c r="A186" s="29" t="str">
        <f t="shared" si="7"/>
        <v>LYXE</v>
      </c>
      <c r="B186" s="8">
        <v>182</v>
      </c>
      <c r="C186" t="str">
        <f>PROPER(VLOOKUP($B186, Sheet3!$B:$I,C$3,0))</f>
        <v>Lukso Token (Lyxe)</v>
      </c>
      <c r="D186" t="str">
        <f>PROPER(VLOOKUP($B186, Sheet3!$B:$I,D$3,0))</f>
        <v>$21.07</v>
      </c>
      <c r="E186" t="str">
        <f>PROPER(VLOOKUP($B186, Sheet3!$B:$I,E$3,0))</f>
        <v>-0.004</v>
      </c>
      <c r="F186" t="str">
        <f>PROPER(VLOOKUP($B186, Sheet3!$B:$I,F$3,0))</f>
        <v>-0.038</v>
      </c>
      <c r="G186" t="str">
        <f>PROPER(VLOOKUP($B186, Sheet3!$B:$I,G$3,0))</f>
        <v>0.274</v>
      </c>
      <c r="H186" t="str">
        <f>PROPER(VLOOKUP($B186, Sheet3!$B:$I,H$3,0))</f>
        <v>$4,533,739</v>
      </c>
      <c r="I186" t="str">
        <f>PROPER(VLOOKUP($B186, Sheet3!$B:$I,I$3,0))</f>
        <v>$318,132,549</v>
      </c>
      <c r="J186" t="str">
        <f t="shared" si="8"/>
        <v>21.07</v>
      </c>
      <c r="K186">
        <f t="shared" si="6"/>
        <v>-3.8</v>
      </c>
    </row>
    <row r="187" spans="1:11" ht="22" customHeight="1" x14ac:dyDescent="0.2">
      <c r="A187" s="29" t="str">
        <f t="shared" si="7"/>
        <v>MED</v>
      </c>
      <c r="B187" s="8">
        <v>183</v>
      </c>
      <c r="C187" t="str">
        <f>PROPER(VLOOKUP($B187, Sheet3!$B:$I,C$3,0))</f>
        <v>Medibloc (Med)</v>
      </c>
      <c r="D187" t="str">
        <f>PROPER(VLOOKUP($B187, Sheet3!$B:$I,D$3,0))</f>
        <v>$0.058066528421</v>
      </c>
      <c r="E187" t="str">
        <f>PROPER(VLOOKUP($B187, Sheet3!$B:$I,E$3,0))</f>
        <v>-0.01</v>
      </c>
      <c r="F187" t="str">
        <f>PROPER(VLOOKUP($B187, Sheet3!$B:$I,F$3,0))</f>
        <v>0.02</v>
      </c>
      <c r="G187" t="str">
        <f>PROPER(VLOOKUP($B187, Sheet3!$B:$I,G$3,0))</f>
        <v>0.047</v>
      </c>
      <c r="H187" t="str">
        <f>PROPER(VLOOKUP($B187, Sheet3!$B:$I,H$3,0))</f>
        <v>$52,615,922</v>
      </c>
      <c r="I187" t="str">
        <f>PROPER(VLOOKUP($B187, Sheet3!$B:$I,I$3,0))</f>
        <v>$315,653,117</v>
      </c>
      <c r="J187" t="str">
        <f t="shared" si="8"/>
        <v>0.058066528421</v>
      </c>
      <c r="K187">
        <f t="shared" si="6"/>
        <v>2</v>
      </c>
    </row>
    <row r="188" spans="1:11" ht="22" customHeight="1" x14ac:dyDescent="0.2">
      <c r="A188" s="29" t="str">
        <f t="shared" si="7"/>
        <v>BAKE</v>
      </c>
      <c r="B188" s="8">
        <v>184</v>
      </c>
      <c r="C188" t="str">
        <f>PROPER(VLOOKUP($B188, Sheet3!$B:$I,C$3,0))</f>
        <v>Bakeryswap (Bake)</v>
      </c>
      <c r="D188" t="str">
        <f>PROPER(VLOOKUP($B188, Sheet3!$B:$I,D$3,0))</f>
        <v>$1.63</v>
      </c>
      <c r="E188" t="str">
        <f>PROPER(VLOOKUP($B188, Sheet3!$B:$I,E$3,0))</f>
        <v>0</v>
      </c>
      <c r="F188" t="str">
        <f>PROPER(VLOOKUP($B188, Sheet3!$B:$I,F$3,0))</f>
        <v>-0.009</v>
      </c>
      <c r="G188" t="str">
        <f>PROPER(VLOOKUP($B188, Sheet3!$B:$I,G$3,0))</f>
        <v>0.068</v>
      </c>
      <c r="H188" t="str">
        <f>PROPER(VLOOKUP($B188, Sheet3!$B:$I,H$3,0))</f>
        <v>$61,853,599</v>
      </c>
      <c r="I188" t="str">
        <f>PROPER(VLOOKUP($B188, Sheet3!$B:$I,I$3,0))</f>
        <v>$314,112,361</v>
      </c>
      <c r="J188" t="str">
        <f t="shared" si="8"/>
        <v>1.63</v>
      </c>
      <c r="K188">
        <f t="shared" si="6"/>
        <v>-0.89999999999999991</v>
      </c>
    </row>
    <row r="189" spans="1:11" ht="22" customHeight="1" x14ac:dyDescent="0.2">
      <c r="A189" s="29" t="str">
        <f t="shared" si="7"/>
        <v>MNGO</v>
      </c>
      <c r="B189" s="8">
        <v>185</v>
      </c>
      <c r="C189" t="str">
        <f>PROPER(VLOOKUP($B189, Sheet3!$B:$I,C$3,0))</f>
        <v>Mango Markets (Mngo)</v>
      </c>
      <c r="D189" t="str">
        <f>PROPER(VLOOKUP($B189, Sheet3!$B:$I,D$3,0))</f>
        <v>$0.304680</v>
      </c>
      <c r="E189" t="str">
        <f>PROPER(VLOOKUP($B189, Sheet3!$B:$I,E$3,0))</f>
        <v>-0.01</v>
      </c>
      <c r="F189" t="str">
        <f>PROPER(VLOOKUP($B189, Sheet3!$B:$I,F$3,0))</f>
        <v>-0.015</v>
      </c>
      <c r="G189" t="str">
        <f>PROPER(VLOOKUP($B189, Sheet3!$B:$I,G$3,0))</f>
        <v>0.215</v>
      </c>
      <c r="H189" t="str">
        <f>PROPER(VLOOKUP($B189, Sheet3!$B:$I,H$3,0))</f>
        <v>$4,338,310</v>
      </c>
      <c r="I189" t="str">
        <f>PROPER(VLOOKUP($B189, Sheet3!$B:$I,I$3,0))</f>
        <v>$309,815,864</v>
      </c>
      <c r="J189" t="str">
        <f t="shared" si="8"/>
        <v>0.304680</v>
      </c>
      <c r="K189">
        <f t="shared" si="6"/>
        <v>-1.5</v>
      </c>
    </row>
    <row r="190" spans="1:11" ht="22" customHeight="1" x14ac:dyDescent="0.2">
      <c r="A190" s="29" t="str">
        <f t="shared" si="7"/>
        <v>PAXG</v>
      </c>
      <c r="B190" s="8">
        <v>186</v>
      </c>
      <c r="C190" t="str">
        <f>PROPER(VLOOKUP($B190, Sheet3!$B:$I,C$3,0))</f>
        <v>Pax Gold (Paxg)</v>
      </c>
      <c r="D190" t="str">
        <f>PROPER(VLOOKUP($B190, Sheet3!$B:$I,D$3,0))</f>
        <v>$1,743.52</v>
      </c>
      <c r="E190" t="str">
        <f>PROPER(VLOOKUP($B190, Sheet3!$B:$I,E$3,0))</f>
        <v>0.004</v>
      </c>
      <c r="F190" t="str">
        <f>PROPER(VLOOKUP($B190, Sheet3!$B:$I,F$3,0))</f>
        <v>-0.003</v>
      </c>
      <c r="G190" t="str">
        <f>PROPER(VLOOKUP($B190, Sheet3!$B:$I,G$3,0))</f>
        <v>-0.017</v>
      </c>
      <c r="H190" t="str">
        <f>PROPER(VLOOKUP($B190, Sheet3!$B:$I,H$3,0))</f>
        <v>$6,026,612</v>
      </c>
      <c r="I190" t="str">
        <f>PROPER(VLOOKUP($B190, Sheet3!$B:$I,I$3,0))</f>
        <v>$309,069,079</v>
      </c>
      <c r="J190" t="str">
        <f t="shared" si="8"/>
        <v>1,743.52</v>
      </c>
      <c r="K190">
        <f t="shared" si="6"/>
        <v>-0.3</v>
      </c>
    </row>
    <row r="191" spans="1:11" ht="22" customHeight="1" x14ac:dyDescent="0.2">
      <c r="A191" s="29" t="str">
        <f t="shared" si="7"/>
        <v>CFX</v>
      </c>
      <c r="B191" s="8">
        <v>187</v>
      </c>
      <c r="C191" t="str">
        <f>PROPER(VLOOKUP($B191, Sheet3!$B:$I,C$3,0))</f>
        <v>Conflux (Cfx)</v>
      </c>
      <c r="D191" t="str">
        <f>PROPER(VLOOKUP($B191, Sheet3!$B:$I,D$3,0))</f>
        <v>$0.305487</v>
      </c>
      <c r="E191" t="str">
        <f>PROPER(VLOOKUP($B191, Sheet3!$B:$I,E$3,0))</f>
        <v>-0.003</v>
      </c>
      <c r="F191" t="str">
        <f>PROPER(VLOOKUP($B191, Sheet3!$B:$I,F$3,0))</f>
        <v>-0.051</v>
      </c>
      <c r="G191" t="str">
        <f>PROPER(VLOOKUP($B191, Sheet3!$B:$I,G$3,0))</f>
        <v>-0.159</v>
      </c>
      <c r="H191" t="str">
        <f>PROPER(VLOOKUP($B191, Sheet3!$B:$I,H$3,0))</f>
        <v>$36,933,372</v>
      </c>
      <c r="I191" t="str">
        <f>PROPER(VLOOKUP($B191, Sheet3!$B:$I,I$3,0))</f>
        <v>$307,939,918</v>
      </c>
      <c r="J191" t="str">
        <f t="shared" si="8"/>
        <v>0.305487</v>
      </c>
      <c r="K191">
        <f t="shared" si="6"/>
        <v>-5.0999999999999996</v>
      </c>
    </row>
    <row r="192" spans="1:11" ht="22" customHeight="1" x14ac:dyDescent="0.2">
      <c r="A192" s="29" t="str">
        <f t="shared" si="7"/>
        <v>HUSD</v>
      </c>
      <c r="B192" s="8">
        <v>188</v>
      </c>
      <c r="C192" t="str">
        <f>PROPER(VLOOKUP($B192, Sheet3!$B:$I,C$3,0))</f>
        <v>Husd (Husd)</v>
      </c>
      <c r="D192" t="str">
        <f>PROPER(VLOOKUP($B192, Sheet3!$B:$I,D$3,0))</f>
        <v>$1.00</v>
      </c>
      <c r="E192" t="str">
        <f>PROPER(VLOOKUP($B192, Sheet3!$B:$I,E$3,0))</f>
        <v>0.001</v>
      </c>
      <c r="F192" t="str">
        <f>PROPER(VLOOKUP($B192, Sheet3!$B:$I,F$3,0))</f>
        <v>0.001</v>
      </c>
      <c r="G192" t="str">
        <f>PROPER(VLOOKUP($B192, Sheet3!$B:$I,G$3,0))</f>
        <v>0.007</v>
      </c>
      <c r="H192" t="str">
        <f>PROPER(VLOOKUP($B192, Sheet3!$B:$I,H$3,0))</f>
        <v>$43,794,386</v>
      </c>
      <c r="I192" t="str">
        <f>PROPER(VLOOKUP($B192, Sheet3!$B:$I,I$3,0))</f>
        <v>$304,340,477</v>
      </c>
      <c r="J192" t="str">
        <f t="shared" si="8"/>
        <v>1.00</v>
      </c>
      <c r="K192">
        <f t="shared" si="6"/>
        <v>0.1</v>
      </c>
    </row>
    <row r="193" spans="1:11" ht="22" customHeight="1" x14ac:dyDescent="0.2">
      <c r="A193" s="29" t="str">
        <f t="shared" si="7"/>
        <v>INJ</v>
      </c>
      <c r="B193" s="8">
        <v>189</v>
      </c>
      <c r="C193" t="str">
        <f>PROPER(VLOOKUP($B193, Sheet3!$B:$I,C$3,0))</f>
        <v>Injective Protocol (Inj)</v>
      </c>
      <c r="D193" t="str">
        <f>PROPER(VLOOKUP($B193, Sheet3!$B:$I,D$3,0))</f>
        <v>$9.24</v>
      </c>
      <c r="E193" t="str">
        <f>PROPER(VLOOKUP($B193, Sheet3!$B:$I,E$3,0))</f>
        <v>-0.003</v>
      </c>
      <c r="F193" t="str">
        <f>PROPER(VLOOKUP($B193, Sheet3!$B:$I,F$3,0))</f>
        <v>-0.031</v>
      </c>
      <c r="G193" t="str">
        <f>PROPER(VLOOKUP($B193, Sheet3!$B:$I,G$3,0))</f>
        <v>0.164</v>
      </c>
      <c r="H193" t="str">
        <f>PROPER(VLOOKUP($B193, Sheet3!$B:$I,H$3,0))</f>
        <v>$26,364,782</v>
      </c>
      <c r="I193" t="str">
        <f>PROPER(VLOOKUP($B193, Sheet3!$B:$I,I$3,0))</f>
        <v>$302,886,125</v>
      </c>
      <c r="J193" t="str">
        <f t="shared" si="8"/>
        <v>9.24</v>
      </c>
      <c r="K193">
        <f t="shared" si="6"/>
        <v>-3.1</v>
      </c>
    </row>
    <row r="194" spans="1:11" ht="22" customHeight="1" x14ac:dyDescent="0.2">
      <c r="A194" s="29" t="str">
        <f t="shared" si="7"/>
        <v>WIN</v>
      </c>
      <c r="B194" s="8">
        <v>190</v>
      </c>
      <c r="C194" t="str">
        <f>PROPER(VLOOKUP($B194, Sheet3!$B:$I,C$3,0))</f>
        <v>Winklink (Win)</v>
      </c>
      <c r="D194" t="str">
        <f>PROPER(VLOOKUP($B194, Sheet3!$B:$I,D$3,0))</f>
        <v>$0.000392998813</v>
      </c>
      <c r="E194" t="str">
        <f>PROPER(VLOOKUP($B194, Sheet3!$B:$I,E$3,0))</f>
        <v>0.003</v>
      </c>
      <c r="F194" t="str">
        <f>PROPER(VLOOKUP($B194, Sheet3!$B:$I,F$3,0))</f>
        <v>-0.001</v>
      </c>
      <c r="G194" t="str">
        <f>PROPER(VLOOKUP($B194, Sheet3!$B:$I,G$3,0))</f>
        <v>-0.022</v>
      </c>
      <c r="H194" t="str">
        <f>PROPER(VLOOKUP($B194, Sheet3!$B:$I,H$3,0))</f>
        <v>$15,356,518</v>
      </c>
      <c r="I194" t="str">
        <f>PROPER(VLOOKUP($B194, Sheet3!$B:$I,I$3,0))</f>
        <v>$301,154,991</v>
      </c>
      <c r="J194" t="str">
        <f t="shared" si="8"/>
        <v>0.000392998813</v>
      </c>
      <c r="K194">
        <f t="shared" si="6"/>
        <v>-0.1</v>
      </c>
    </row>
    <row r="195" spans="1:11" ht="22" customHeight="1" x14ac:dyDescent="0.2">
      <c r="A195" s="29" t="str">
        <f t="shared" si="7"/>
        <v>XVG</v>
      </c>
      <c r="B195" s="8">
        <v>191</v>
      </c>
      <c r="C195" t="str">
        <f>PROPER(VLOOKUP($B195, Sheet3!$B:$I,C$3,0))</f>
        <v>Verge (Xvg)</v>
      </c>
      <c r="D195" t="str">
        <f>PROPER(VLOOKUP($B195, Sheet3!$B:$I,D$3,0))</f>
        <v>$0.018184049177</v>
      </c>
      <c r="E195" t="str">
        <f>PROPER(VLOOKUP($B195, Sheet3!$B:$I,E$3,0))</f>
        <v>0.001</v>
      </c>
      <c r="F195" t="str">
        <f>PROPER(VLOOKUP($B195, Sheet3!$B:$I,F$3,0))</f>
        <v>-0.024</v>
      </c>
      <c r="G195" t="str">
        <f>PROPER(VLOOKUP($B195, Sheet3!$B:$I,G$3,0))</f>
        <v>-0.044</v>
      </c>
      <c r="H195" t="str">
        <f>PROPER(VLOOKUP($B195, Sheet3!$B:$I,H$3,0))</f>
        <v>$14,000,927</v>
      </c>
      <c r="I195" t="str">
        <f>PROPER(VLOOKUP($B195, Sheet3!$B:$I,I$3,0))</f>
        <v>$299,668,142</v>
      </c>
      <c r="J195" t="str">
        <f t="shared" si="8"/>
        <v>0.018184049177</v>
      </c>
      <c r="K195">
        <f t="shared" si="6"/>
        <v>-2.4</v>
      </c>
    </row>
    <row r="196" spans="1:11" ht="22" customHeight="1" x14ac:dyDescent="0.2">
      <c r="A196" s="29" t="str">
        <f t="shared" si="7"/>
        <v>PUNDIX</v>
      </c>
      <c r="B196" s="8">
        <v>192</v>
      </c>
      <c r="C196" t="str">
        <f>PROPER(VLOOKUP($B196, Sheet3!$B:$I,C$3,0))</f>
        <v>Pundi X (Pundix)</v>
      </c>
      <c r="D196" t="str">
        <f>PROPER(VLOOKUP($B196, Sheet3!$B:$I,D$3,0))</f>
        <v>$1.17</v>
      </c>
      <c r="E196" t="str">
        <f>PROPER(VLOOKUP($B196, Sheet3!$B:$I,E$3,0))</f>
        <v>0.007</v>
      </c>
      <c r="F196" t="str">
        <f>PROPER(VLOOKUP($B196, Sheet3!$B:$I,F$3,0))</f>
        <v>0.014</v>
      </c>
      <c r="G196" t="str">
        <f>PROPER(VLOOKUP($B196, Sheet3!$B:$I,G$3,0))</f>
        <v>-0.044</v>
      </c>
      <c r="H196" t="str">
        <f>PROPER(VLOOKUP($B196, Sheet3!$B:$I,H$3,0))</f>
        <v>$9,227,160</v>
      </c>
      <c r="I196" t="str">
        <f>PROPER(VLOOKUP($B196, Sheet3!$B:$I,I$3,0))</f>
        <v>$301,764,659</v>
      </c>
      <c r="J196" t="str">
        <f t="shared" si="8"/>
        <v>1.17</v>
      </c>
      <c r="K196">
        <f t="shared" si="6"/>
        <v>1.4000000000000001</v>
      </c>
    </row>
    <row r="197" spans="1:11" ht="22" customHeight="1" x14ac:dyDescent="0.2">
      <c r="A197" s="29" t="str">
        <f t="shared" si="7"/>
        <v>MIR</v>
      </c>
      <c r="B197" s="8">
        <v>193</v>
      </c>
      <c r="C197" t="str">
        <f>PROPER(VLOOKUP($B197, Sheet3!$B:$I,C$3,0))</f>
        <v>Mirror Protocol (Mir)</v>
      </c>
      <c r="D197" t="str">
        <f>PROPER(VLOOKUP($B197, Sheet3!$B:$I,D$3,0))</f>
        <v>$2.77</v>
      </c>
      <c r="E197" t="str">
        <f>PROPER(VLOOKUP($B197, Sheet3!$B:$I,E$3,0))</f>
        <v>-0.007</v>
      </c>
      <c r="F197" t="str">
        <f>PROPER(VLOOKUP($B197, Sheet3!$B:$I,F$3,0))</f>
        <v>-0.004</v>
      </c>
      <c r="G197" t="str">
        <f>PROPER(VLOOKUP($B197, Sheet3!$B:$I,G$3,0))</f>
        <v>-0.079</v>
      </c>
      <c r="H197" t="str">
        <f>PROPER(VLOOKUP($B197, Sheet3!$B:$I,H$3,0))</f>
        <v>$16,576,372</v>
      </c>
      <c r="I197" t="str">
        <f>PROPER(VLOOKUP($B197, Sheet3!$B:$I,I$3,0))</f>
        <v>$296,609,311</v>
      </c>
      <c r="J197" t="str">
        <f t="shared" si="8"/>
        <v>2.77</v>
      </c>
      <c r="K197">
        <f t="shared" ref="K197:K260" si="9">F197*100</f>
        <v>-0.4</v>
      </c>
    </row>
    <row r="198" spans="1:11" ht="22" customHeight="1" x14ac:dyDescent="0.2">
      <c r="A198" s="29" t="str">
        <f t="shared" ref="A198:A261" si="10">UPPER(MID(LEFT(C198,FIND(")",C198)-1),FIND("(",C198)+1,LEN(C198)))</f>
        <v>ILV</v>
      </c>
      <c r="B198" s="8">
        <v>194</v>
      </c>
      <c r="C198" t="str">
        <f>PROPER(VLOOKUP($B198, Sheet3!$B:$I,C$3,0))</f>
        <v>Illuvium (Ilv)</v>
      </c>
      <c r="D198" t="str">
        <f>PROPER(VLOOKUP($B198, Sheet3!$B:$I,D$3,0))</f>
        <v>$465.82</v>
      </c>
      <c r="E198" t="str">
        <f>PROPER(VLOOKUP($B198, Sheet3!$B:$I,E$3,0))</f>
        <v>-0.005</v>
      </c>
      <c r="F198" t="str">
        <f>PROPER(VLOOKUP($B198, Sheet3!$B:$I,F$3,0))</f>
        <v>-0.015</v>
      </c>
      <c r="G198" t="str">
        <f>PROPER(VLOOKUP($B198, Sheet3!$B:$I,G$3,0))</f>
        <v>0.122</v>
      </c>
      <c r="H198" t="str">
        <f>PROPER(VLOOKUP($B198, Sheet3!$B:$I,H$3,0))</f>
        <v>$194,439,653</v>
      </c>
      <c r="I198" t="str">
        <f>PROPER(VLOOKUP($B198, Sheet3!$B:$I,I$3,0))</f>
        <v>$296,463,048</v>
      </c>
      <c r="J198" t="str">
        <f t="shared" ref="J198:J261" si="11">SUBSTITUTE(D198, "$", "")</f>
        <v>465.82</v>
      </c>
      <c r="K198">
        <f t="shared" si="9"/>
        <v>-1.5</v>
      </c>
    </row>
    <row r="199" spans="1:11" ht="22" customHeight="1" x14ac:dyDescent="0.2">
      <c r="A199" s="29" t="str">
        <f t="shared" si="10"/>
        <v>VLX</v>
      </c>
      <c r="B199" s="8">
        <v>195</v>
      </c>
      <c r="C199" t="str">
        <f>PROPER(VLOOKUP($B199, Sheet3!$B:$I,C$3,0))</f>
        <v>Velas (Vlx)</v>
      </c>
      <c r="D199" t="str">
        <f>PROPER(VLOOKUP($B199, Sheet3!$B:$I,D$3,0))</f>
        <v>$0.132469</v>
      </c>
      <c r="E199" t="str">
        <f>PROPER(VLOOKUP($B199, Sheet3!$B:$I,E$3,0))</f>
        <v>-0.001</v>
      </c>
      <c r="F199" t="str">
        <f>PROPER(VLOOKUP($B199, Sheet3!$B:$I,F$3,0))</f>
        <v>0.04</v>
      </c>
      <c r="G199" t="str">
        <f>PROPER(VLOOKUP($B199, Sheet3!$B:$I,G$3,0))</f>
        <v>-0.14</v>
      </c>
      <c r="H199" t="str">
        <f>PROPER(VLOOKUP($B199, Sheet3!$B:$I,H$3,0))</f>
        <v>$5,378,815</v>
      </c>
      <c r="I199" t="str">
        <f>PROPER(VLOOKUP($B199, Sheet3!$B:$I,I$3,0))</f>
        <v>$291,852,479</v>
      </c>
      <c r="J199" t="str">
        <f t="shared" si="11"/>
        <v>0.132469</v>
      </c>
      <c r="K199">
        <f t="shared" si="9"/>
        <v>4</v>
      </c>
    </row>
    <row r="200" spans="1:11" ht="22" customHeight="1" x14ac:dyDescent="0.2">
      <c r="A200" s="29" t="str">
        <f t="shared" si="10"/>
        <v>JOE</v>
      </c>
      <c r="B200" s="8">
        <v>196</v>
      </c>
      <c r="C200" t="str">
        <f>PROPER(VLOOKUP($B200, Sheet3!$B:$I,C$3,0))</f>
        <v>Joe (Joe)</v>
      </c>
      <c r="D200" t="str">
        <f>PROPER(VLOOKUP($B200, Sheet3!$B:$I,D$3,0))</f>
        <v>$3.09</v>
      </c>
      <c r="E200" t="str">
        <f>PROPER(VLOOKUP($B200, Sheet3!$B:$I,E$3,0))</f>
        <v>-0.025</v>
      </c>
      <c r="F200" t="str">
        <f>PROPER(VLOOKUP($B200, Sheet3!$B:$I,F$3,0))</f>
        <v>-0.169</v>
      </c>
      <c r="G200" t="str">
        <f>PROPER(VLOOKUP($B200, Sheet3!$B:$I,G$3,0))</f>
        <v>0.072</v>
      </c>
      <c r="H200" t="str">
        <f>PROPER(VLOOKUP($B200, Sheet3!$B:$I,H$3,0))</f>
        <v>$42,265,165</v>
      </c>
      <c r="I200" t="str">
        <f>PROPER(VLOOKUP($B200, Sheet3!$B:$I,I$3,0))</f>
        <v>$291,245,778</v>
      </c>
      <c r="J200" t="str">
        <f t="shared" si="11"/>
        <v>3.09</v>
      </c>
      <c r="K200">
        <f t="shared" si="9"/>
        <v>-16.900000000000002</v>
      </c>
    </row>
    <row r="201" spans="1:11" ht="22" customHeight="1" x14ac:dyDescent="0.2">
      <c r="A201" s="29" t="str">
        <f t="shared" si="10"/>
        <v>ORBS</v>
      </c>
      <c r="B201" s="8">
        <v>197</v>
      </c>
      <c r="C201" t="str">
        <f>PROPER(VLOOKUP($B201, Sheet3!$B:$I,C$3,0))</f>
        <v>Orbs (Orbs)</v>
      </c>
      <c r="D201" t="str">
        <f>PROPER(VLOOKUP($B201, Sheet3!$B:$I,D$3,0))</f>
        <v>$0.097595633938</v>
      </c>
      <c r="E201" t="str">
        <f>PROPER(VLOOKUP($B201, Sheet3!$B:$I,E$3,0))</f>
        <v>-0.014</v>
      </c>
      <c r="F201" t="str">
        <f>PROPER(VLOOKUP($B201, Sheet3!$B:$I,F$3,0))</f>
        <v>-0.016</v>
      </c>
      <c r="G201" t="str">
        <f>PROPER(VLOOKUP($B201, Sheet3!$B:$I,G$3,0))</f>
        <v>-0.031</v>
      </c>
      <c r="H201" t="str">
        <f>PROPER(VLOOKUP($B201, Sheet3!$B:$I,H$3,0))</f>
        <v>$8,357,085</v>
      </c>
      <c r="I201" t="str">
        <f>PROPER(VLOOKUP($B201, Sheet3!$B:$I,I$3,0))</f>
        <v>$284,519,663</v>
      </c>
      <c r="J201" t="str">
        <f t="shared" si="11"/>
        <v>0.097595633938</v>
      </c>
      <c r="K201">
        <f t="shared" si="9"/>
        <v>-1.6</v>
      </c>
    </row>
    <row r="202" spans="1:11" ht="22" customHeight="1" x14ac:dyDescent="0.2">
      <c r="A202" s="29" t="str">
        <f t="shared" si="10"/>
        <v>AGIX</v>
      </c>
      <c r="B202" s="8">
        <v>198</v>
      </c>
      <c r="C202" t="str">
        <f>PROPER(VLOOKUP($B202, Sheet3!$B:$I,C$3,0))</f>
        <v>Singularitynet (Agix)</v>
      </c>
      <c r="D202" t="str">
        <f>PROPER(VLOOKUP($B202, Sheet3!$B:$I,D$3,0))</f>
        <v>$0.290498</v>
      </c>
      <c r="E202" t="str">
        <f>PROPER(VLOOKUP($B202, Sheet3!$B:$I,E$3,0))</f>
        <v>-0.011</v>
      </c>
      <c r="F202" t="str">
        <f>PROPER(VLOOKUP($B202, Sheet3!$B:$I,F$3,0))</f>
        <v>-0.091</v>
      </c>
      <c r="G202" t="str">
        <f>PROPER(VLOOKUP($B202, Sheet3!$B:$I,G$3,0))</f>
        <v>0.094</v>
      </c>
      <c r="H202" t="str">
        <f>PROPER(VLOOKUP($B202, Sheet3!$B:$I,H$3,0))</f>
        <v>$3,498,190</v>
      </c>
      <c r="I202" t="str">
        <f>PROPER(VLOOKUP($B202, Sheet3!$B:$I,I$3,0))</f>
        <v>$286,868,518</v>
      </c>
      <c r="J202" t="str">
        <f t="shared" si="11"/>
        <v>0.290498</v>
      </c>
      <c r="K202">
        <f t="shared" si="9"/>
        <v>-9.1</v>
      </c>
    </row>
    <row r="203" spans="1:11" ht="22" customHeight="1" x14ac:dyDescent="0.2">
      <c r="A203" s="29" t="str">
        <f t="shared" si="10"/>
        <v>BAND</v>
      </c>
      <c r="B203" s="8">
        <v>199</v>
      </c>
      <c r="C203" t="str">
        <f>PROPER(VLOOKUP($B203, Sheet3!$B:$I,C$3,0))</f>
        <v>Band Protocol (Band)</v>
      </c>
      <c r="D203" t="str">
        <f>PROPER(VLOOKUP($B203, Sheet3!$B:$I,D$3,0))</f>
        <v>$6.81</v>
      </c>
      <c r="E203" t="str">
        <f>PROPER(VLOOKUP($B203, Sheet3!$B:$I,E$3,0))</f>
        <v>-0.012</v>
      </c>
      <c r="F203" t="str">
        <f>PROPER(VLOOKUP($B203, Sheet3!$B:$I,F$3,0))</f>
        <v>-0.025</v>
      </c>
      <c r="G203" t="str">
        <f>PROPER(VLOOKUP($B203, Sheet3!$B:$I,G$3,0))</f>
        <v>-0.008</v>
      </c>
      <c r="H203" t="str">
        <f>PROPER(VLOOKUP($B203, Sheet3!$B:$I,H$3,0))</f>
        <v>$21,045,461</v>
      </c>
      <c r="I203" t="str">
        <f>PROPER(VLOOKUP($B203, Sheet3!$B:$I,I$3,0))</f>
        <v>$283,446,349</v>
      </c>
      <c r="J203" t="str">
        <f t="shared" si="11"/>
        <v>6.81</v>
      </c>
      <c r="K203">
        <f t="shared" si="9"/>
        <v>-2.5</v>
      </c>
    </row>
    <row r="204" spans="1:11" ht="22" customHeight="1" x14ac:dyDescent="0.2">
      <c r="A204" s="29" t="str">
        <f t="shared" si="10"/>
        <v>BCD</v>
      </c>
      <c r="B204" s="8">
        <v>200</v>
      </c>
      <c r="C204" t="str">
        <f>PROPER(VLOOKUP($B204, Sheet3!$B:$I,C$3,0))</f>
        <v>Bitcoin Diamond (Bcd)</v>
      </c>
      <c r="D204" t="str">
        <f>PROPER(VLOOKUP($B204, Sheet3!$B:$I,D$3,0))</f>
        <v>$1.50</v>
      </c>
      <c r="E204" t="str">
        <f>PROPER(VLOOKUP($B204, Sheet3!$B:$I,E$3,0))</f>
        <v>0.001</v>
      </c>
      <c r="F204" t="str">
        <f>PROPER(VLOOKUP($B204, Sheet3!$B:$I,F$3,0))</f>
        <v>-0.008</v>
      </c>
      <c r="G204" t="str">
        <f>PROPER(VLOOKUP($B204, Sheet3!$B:$I,G$3,0))</f>
        <v>-0.064</v>
      </c>
      <c r="H204" t="str">
        <f>PROPER(VLOOKUP($B204, Sheet3!$B:$I,H$3,0))</f>
        <v>$2,998,032</v>
      </c>
      <c r="I204" t="str">
        <f>PROPER(VLOOKUP($B204, Sheet3!$B:$I,I$3,0))</f>
        <v>$282,121,877</v>
      </c>
      <c r="J204" t="str">
        <f t="shared" si="11"/>
        <v>1.50</v>
      </c>
      <c r="K204">
        <f t="shared" si="9"/>
        <v>-0.8</v>
      </c>
    </row>
    <row r="205" spans="1:11" ht="22" customHeight="1" x14ac:dyDescent="0.2">
      <c r="A205" s="29" t="str">
        <f t="shared" si="10"/>
        <v>ASD</v>
      </c>
      <c r="B205" s="8">
        <v>201</v>
      </c>
      <c r="C205" t="str">
        <f>PROPER(VLOOKUP($B205, Sheet4!$B:$I,C$3,0))</f>
        <v>Ascendex Token (Asd)</v>
      </c>
      <c r="D205" t="str">
        <f>PROPER(VLOOKUP($B205, Sheet4!$B:$I,D$3,0))</f>
        <v>$0.377463</v>
      </c>
      <c r="E205" t="str">
        <f>PROPER(VLOOKUP($B205, Sheet4!$B:$I,E$3,0))</f>
        <v>-0.001</v>
      </c>
      <c r="F205" t="str">
        <f>PROPER(VLOOKUP($B205, Sheet4!$B:$I,F$3,0))</f>
        <v>-0.012</v>
      </c>
      <c r="G205" t="str">
        <f>PROPER(VLOOKUP($B205, Sheet4!$B:$I,G$3,0))</f>
        <v>-0.103</v>
      </c>
      <c r="H205" t="str">
        <f>PROPER(VLOOKUP($B205, Sheet4!$B:$I,H$3,0))</f>
        <v>$3,658,677</v>
      </c>
      <c r="I205" t="str">
        <f>PROPER(VLOOKUP($B205, Sheet4!$B:$I,I$3,0))</f>
        <v>$280,600,452</v>
      </c>
      <c r="J205" t="str">
        <f t="shared" si="11"/>
        <v>0.377463</v>
      </c>
      <c r="K205">
        <f t="shared" si="9"/>
        <v>-1.2</v>
      </c>
    </row>
    <row r="206" spans="1:11" ht="22" customHeight="1" x14ac:dyDescent="0.2">
      <c r="A206" s="29" t="str">
        <f t="shared" si="10"/>
        <v>SDN</v>
      </c>
      <c r="B206" s="8">
        <v>202</v>
      </c>
      <c r="C206" t="str">
        <f>PROPER(VLOOKUP($B206, Sheet4!$B:$I,C$3,0))</f>
        <v>Shiden Network (Sdn)</v>
      </c>
      <c r="D206" t="str">
        <f>PROPER(VLOOKUP($B206, Sheet4!$B:$I,D$3,0))</f>
        <v>$4.82</v>
      </c>
      <c r="E206" t="str">
        <f>PROPER(VLOOKUP($B206, Sheet4!$B:$I,E$3,0))</f>
        <v>-0.002</v>
      </c>
      <c r="F206" t="str">
        <f>PROPER(VLOOKUP($B206, Sheet4!$B:$I,F$3,0))</f>
        <v>-0.002</v>
      </c>
      <c r="G206" t="str">
        <f>PROPER(VLOOKUP($B206, Sheet4!$B:$I,G$3,0))</f>
        <v>-0.003</v>
      </c>
      <c r="H206" t="str">
        <f>PROPER(VLOOKUP($B206, Sheet4!$B:$I,H$3,0))</f>
        <v>$7,025,501</v>
      </c>
      <c r="I206" t="str">
        <f>PROPER(VLOOKUP($B206, Sheet4!$B:$I,I$3,0))</f>
        <v>$275,599,727</v>
      </c>
      <c r="J206" t="str">
        <f t="shared" si="11"/>
        <v>4.82</v>
      </c>
      <c r="K206">
        <f t="shared" si="9"/>
        <v>-0.2</v>
      </c>
    </row>
    <row r="207" spans="1:11" ht="22" customHeight="1" x14ac:dyDescent="0.2">
      <c r="A207" s="29" t="str">
        <f t="shared" si="10"/>
        <v>FIDA</v>
      </c>
      <c r="B207" s="8">
        <v>203</v>
      </c>
      <c r="C207" t="str">
        <f>PROPER(VLOOKUP($B207, Sheet4!$B:$I,C$3,0))</f>
        <v>Bonfida (Fida)</v>
      </c>
      <c r="D207" t="str">
        <f>PROPER(VLOOKUP($B207, Sheet4!$B:$I,D$3,0))</f>
        <v>$5.57</v>
      </c>
      <c r="E207" t="str">
        <f>PROPER(VLOOKUP($B207, Sheet4!$B:$I,E$3,0))</f>
        <v>-0.003</v>
      </c>
      <c r="F207" t="str">
        <f>PROPER(VLOOKUP($B207, Sheet4!$B:$I,F$3,0))</f>
        <v>-0.002</v>
      </c>
      <c r="G207" t="str">
        <f>PROPER(VLOOKUP($B207, Sheet4!$B:$I,G$3,0))</f>
        <v>0.059</v>
      </c>
      <c r="H207" t="str">
        <f>PROPER(VLOOKUP($B207, Sheet4!$B:$I,H$3,0))</f>
        <v>$1,489,344</v>
      </c>
      <c r="I207" t="str">
        <f>PROPER(VLOOKUP($B207, Sheet4!$B:$I,I$3,0))</f>
        <v>$273,727,226</v>
      </c>
      <c r="J207" t="str">
        <f t="shared" si="11"/>
        <v>5.57</v>
      </c>
      <c r="K207">
        <f t="shared" si="9"/>
        <v>-0.2</v>
      </c>
    </row>
    <row r="208" spans="1:11" ht="22" customHeight="1" x14ac:dyDescent="0.2">
      <c r="A208" s="29" t="str">
        <f t="shared" si="10"/>
        <v>SCRT</v>
      </c>
      <c r="B208" s="8">
        <v>204</v>
      </c>
      <c r="C208" t="str">
        <f>PROPER(VLOOKUP($B208, Sheet4!$B:$I,C$3,0))</f>
        <v>Secret (Scrt)</v>
      </c>
      <c r="D208" t="str">
        <f>PROPER(VLOOKUP($B208, Sheet4!$B:$I,D$3,0))</f>
        <v>$1.81</v>
      </c>
      <c r="E208" t="str">
        <f>PROPER(VLOOKUP($B208, Sheet4!$B:$I,E$3,0))</f>
        <v>-0.015</v>
      </c>
      <c r="F208" t="str">
        <f>PROPER(VLOOKUP($B208, Sheet4!$B:$I,F$3,0))</f>
        <v>-0.063</v>
      </c>
      <c r="G208" t="str">
        <f>PROPER(VLOOKUP($B208, Sheet4!$B:$I,G$3,0))</f>
        <v>0.073</v>
      </c>
      <c r="H208" t="str">
        <f>PROPER(VLOOKUP($B208, Sheet4!$B:$I,H$3,0))</f>
        <v>$1,996,710</v>
      </c>
      <c r="I208" t="str">
        <f>PROPER(VLOOKUP($B208, Sheet4!$B:$I,I$3,0))</f>
        <v>$269,083,667</v>
      </c>
      <c r="J208" t="str">
        <f t="shared" si="11"/>
        <v>1.81</v>
      </c>
      <c r="K208">
        <f t="shared" si="9"/>
        <v>-6.3</v>
      </c>
    </row>
    <row r="209" spans="1:11" ht="22" customHeight="1" x14ac:dyDescent="0.2">
      <c r="A209" s="29" t="str">
        <f t="shared" si="10"/>
        <v>XCH</v>
      </c>
      <c r="B209" s="8">
        <v>205</v>
      </c>
      <c r="C209" t="str">
        <f>PROPER(VLOOKUP($B209, Sheet4!$B:$I,C$3,0))</f>
        <v>Chia (Xch)</v>
      </c>
      <c r="D209" t="str">
        <f>PROPER(VLOOKUP($B209, Sheet4!$B:$I,D$3,0))</f>
        <v>$145.54</v>
      </c>
      <c r="E209" t="str">
        <f>PROPER(VLOOKUP($B209, Sheet4!$B:$I,E$3,0))</f>
        <v>0.004</v>
      </c>
      <c r="F209" t="str">
        <f>PROPER(VLOOKUP($B209, Sheet4!$B:$I,F$3,0))</f>
        <v>-0.027</v>
      </c>
      <c r="G209" t="str">
        <f>PROPER(VLOOKUP($B209, Sheet4!$B:$I,G$3,0))</f>
        <v>-0.273</v>
      </c>
      <c r="H209" t="str">
        <f>PROPER(VLOOKUP($B209, Sheet4!$B:$I,H$3,0))</f>
        <v>$27,000,777</v>
      </c>
      <c r="I209" t="str">
        <f>PROPER(VLOOKUP($B209, Sheet4!$B:$I,I$3,0))</f>
        <v>$269,162,407</v>
      </c>
      <c r="J209" t="str">
        <f t="shared" si="11"/>
        <v>145.54</v>
      </c>
      <c r="K209">
        <f t="shared" si="9"/>
        <v>-2.7</v>
      </c>
    </row>
    <row r="210" spans="1:11" ht="22" customHeight="1" x14ac:dyDescent="0.2">
      <c r="A210" s="29" t="str">
        <f t="shared" si="10"/>
        <v>TRIBE</v>
      </c>
      <c r="B210" s="8">
        <v>206</v>
      </c>
      <c r="C210" t="str">
        <f>PROPER(VLOOKUP($B210, Sheet4!$B:$I,C$3,0))</f>
        <v>Tribe (Tribe)</v>
      </c>
      <c r="D210" t="str">
        <f>PROPER(VLOOKUP($B210, Sheet4!$B:$I,D$3,0))</f>
        <v>$0.587486</v>
      </c>
      <c r="E210" t="str">
        <f>PROPER(VLOOKUP($B210, Sheet4!$B:$I,E$3,0))</f>
        <v>0.003</v>
      </c>
      <c r="F210" t="str">
        <f>PROPER(VLOOKUP($B210, Sheet4!$B:$I,F$3,0))</f>
        <v>-0.011</v>
      </c>
      <c r="G210" t="str">
        <f>PROPER(VLOOKUP($B210, Sheet4!$B:$I,G$3,0))</f>
        <v>-0.035</v>
      </c>
      <c r="H210" t="str">
        <f>PROPER(VLOOKUP($B210, Sheet4!$B:$I,H$3,0))</f>
        <v>$17,690,845</v>
      </c>
      <c r="I210" t="str">
        <f>PROPER(VLOOKUP($B210, Sheet4!$B:$I,I$3,0))</f>
        <v>$266,823,195</v>
      </c>
      <c r="J210" t="str">
        <f t="shared" si="11"/>
        <v>0.587486</v>
      </c>
      <c r="K210">
        <f t="shared" si="9"/>
        <v>-1.0999999999999999</v>
      </c>
    </row>
    <row r="211" spans="1:11" ht="22" customHeight="1" x14ac:dyDescent="0.2">
      <c r="A211" s="29" t="str">
        <f t="shared" si="10"/>
        <v>SNT</v>
      </c>
      <c r="B211" s="8">
        <v>207</v>
      </c>
      <c r="C211" t="str">
        <f>PROPER(VLOOKUP($B211, Sheet4!$B:$I,C$3,0))</f>
        <v>Status (Snt)</v>
      </c>
      <c r="D211" t="str">
        <f>PROPER(VLOOKUP($B211, Sheet4!$B:$I,D$3,0))</f>
        <v>$0.068615145627</v>
      </c>
      <c r="E211" t="str">
        <f>PROPER(VLOOKUP($B211, Sheet4!$B:$I,E$3,0))</f>
        <v>-0.002</v>
      </c>
      <c r="F211" t="str">
        <f>PROPER(VLOOKUP($B211, Sheet4!$B:$I,F$3,0))</f>
        <v>-0.006</v>
      </c>
      <c r="G211" t="str">
        <f>PROPER(VLOOKUP($B211, Sheet4!$B:$I,G$3,0))</f>
        <v>-0.07</v>
      </c>
      <c r="H211" t="str">
        <f>PROPER(VLOOKUP($B211, Sheet4!$B:$I,H$3,0))</f>
        <v>$21,670,179</v>
      </c>
      <c r="I211" t="str">
        <f>PROPER(VLOOKUP($B211, Sheet4!$B:$I,I$3,0))</f>
        <v>$266,671,653</v>
      </c>
      <c r="J211" t="str">
        <f t="shared" si="11"/>
        <v>0.068615145627</v>
      </c>
      <c r="K211">
        <f t="shared" si="9"/>
        <v>-0.6</v>
      </c>
    </row>
    <row r="212" spans="1:11" ht="22" customHeight="1" x14ac:dyDescent="0.2">
      <c r="A212" s="29" t="str">
        <f t="shared" si="10"/>
        <v>CVC</v>
      </c>
      <c r="B212" s="8">
        <v>208</v>
      </c>
      <c r="C212" t="str">
        <f>PROPER(VLOOKUP($B212, Sheet4!$B:$I,C$3,0))</f>
        <v>Civic (Cvc)</v>
      </c>
      <c r="D212" t="str">
        <f>PROPER(VLOOKUP($B212, Sheet4!$B:$I,D$3,0))</f>
        <v>$0.394966</v>
      </c>
      <c r="E212" t="str">
        <f>PROPER(VLOOKUP($B212, Sheet4!$B:$I,E$3,0))</f>
        <v>-0.002</v>
      </c>
      <c r="F212" t="str">
        <f>PROPER(VLOOKUP($B212, Sheet4!$B:$I,F$3,0))</f>
        <v>-0.035</v>
      </c>
      <c r="G212" t="str">
        <f>PROPER(VLOOKUP($B212, Sheet4!$B:$I,G$3,0))</f>
        <v>0.044</v>
      </c>
      <c r="H212" t="str">
        <f>PROPER(VLOOKUP($B212, Sheet4!$B:$I,H$3,0))</f>
        <v>$32,817,950</v>
      </c>
      <c r="I212" t="str">
        <f>PROPER(VLOOKUP($B212, Sheet4!$B:$I,I$3,0))</f>
        <v>$264,858,047</v>
      </c>
      <c r="J212" t="str">
        <f t="shared" si="11"/>
        <v>0.394966</v>
      </c>
      <c r="K212">
        <f t="shared" si="9"/>
        <v>-3.5000000000000004</v>
      </c>
    </row>
    <row r="213" spans="1:11" ht="22" customHeight="1" x14ac:dyDescent="0.2">
      <c r="A213" s="29" t="str">
        <f t="shared" si="10"/>
        <v>FX</v>
      </c>
      <c r="B213" s="8">
        <v>209</v>
      </c>
      <c r="C213" t="str">
        <f>PROPER(VLOOKUP($B213, Sheet4!$B:$I,C$3,0))</f>
        <v>Function X (Fx)</v>
      </c>
      <c r="D213" t="str">
        <f>PROPER(VLOOKUP($B213, Sheet4!$B:$I,D$3,0))</f>
        <v>$0.651640</v>
      </c>
      <c r="E213" t="str">
        <f>PROPER(VLOOKUP($B213, Sheet4!$B:$I,E$3,0))</f>
        <v>0.009</v>
      </c>
      <c r="F213" t="str">
        <f>PROPER(VLOOKUP($B213, Sheet4!$B:$I,F$3,0))</f>
        <v>-0.011</v>
      </c>
      <c r="G213" t="str">
        <f>PROPER(VLOOKUP($B213, Sheet4!$B:$I,G$3,0))</f>
        <v>-0.079</v>
      </c>
      <c r="H213" t="str">
        <f>PROPER(VLOOKUP($B213, Sheet4!$B:$I,H$3,0))</f>
        <v>$2,146,552</v>
      </c>
      <c r="I213" t="str">
        <f>PROPER(VLOOKUP($B213, Sheet4!$B:$I,I$3,0))</f>
        <v>$264,388,721</v>
      </c>
      <c r="J213" t="str">
        <f t="shared" si="11"/>
        <v>0.651640</v>
      </c>
      <c r="K213">
        <f t="shared" si="9"/>
        <v>-1.0999999999999999</v>
      </c>
    </row>
    <row r="214" spans="1:11" ht="22" customHeight="1" x14ac:dyDescent="0.2">
      <c r="A214" s="29" t="str">
        <f t="shared" si="10"/>
        <v>ELF</v>
      </c>
      <c r="B214" s="8">
        <v>210</v>
      </c>
      <c r="C214" t="str">
        <f>PROPER(VLOOKUP($B214, Sheet4!$B:$I,C$3,0))</f>
        <v>Aelf (Elf)</v>
      </c>
      <c r="D214" t="str">
        <f>PROPER(VLOOKUP($B214, Sheet4!$B:$I,D$3,0))</f>
        <v>$0.559410</v>
      </c>
      <c r="E214" t="str">
        <f>PROPER(VLOOKUP($B214, Sheet4!$B:$I,E$3,0))</f>
        <v>-0.016</v>
      </c>
      <c r="F214" t="str">
        <f>PROPER(VLOOKUP($B214, Sheet4!$B:$I,F$3,0))</f>
        <v>-0.047</v>
      </c>
      <c r="G214" t="str">
        <f>PROPER(VLOOKUP($B214, Sheet4!$B:$I,G$3,0))</f>
        <v>-0.235</v>
      </c>
      <c r="H214" t="str">
        <f>PROPER(VLOOKUP($B214, Sheet4!$B:$I,H$3,0))</f>
        <v>$23,068,626</v>
      </c>
      <c r="I214" t="str">
        <f>PROPER(VLOOKUP($B214, Sheet4!$B:$I,I$3,0))</f>
        <v>$262,160,628</v>
      </c>
      <c r="J214" t="str">
        <f t="shared" si="11"/>
        <v>0.559410</v>
      </c>
      <c r="K214">
        <f t="shared" si="9"/>
        <v>-4.7</v>
      </c>
    </row>
    <row r="215" spans="1:11" ht="22" customHeight="1" x14ac:dyDescent="0.2">
      <c r="A215" s="29" t="str">
        <f t="shared" si="10"/>
        <v>OCEAN</v>
      </c>
      <c r="B215" s="8">
        <v>211</v>
      </c>
      <c r="C215" t="str">
        <f>PROPER(VLOOKUP($B215, Sheet4!$B:$I,C$3,0))</f>
        <v>Ocean Protocol (Ocean)</v>
      </c>
      <c r="D215" t="str">
        <f>PROPER(VLOOKUP($B215, Sheet4!$B:$I,D$3,0))</f>
        <v>$0.602112</v>
      </c>
      <c r="E215" t="str">
        <f>PROPER(VLOOKUP($B215, Sheet4!$B:$I,E$3,0))</f>
        <v>0</v>
      </c>
      <c r="F215" t="str">
        <f>PROPER(VLOOKUP($B215, Sheet4!$B:$I,F$3,0))</f>
        <v>-0.026</v>
      </c>
      <c r="G215" t="str">
        <f>PROPER(VLOOKUP($B215, Sheet4!$B:$I,G$3,0))</f>
        <v>0.012</v>
      </c>
      <c r="H215" t="str">
        <f>PROPER(VLOOKUP($B215, Sheet4!$B:$I,H$3,0))</f>
        <v>$17,451,638</v>
      </c>
      <c r="I215" t="str">
        <f>PROPER(VLOOKUP($B215, Sheet4!$B:$I,I$3,0))</f>
        <v>$261,406,804</v>
      </c>
      <c r="J215" t="str">
        <f t="shared" si="11"/>
        <v>0.602112</v>
      </c>
      <c r="K215">
        <f t="shared" si="9"/>
        <v>-2.6</v>
      </c>
    </row>
    <row r="216" spans="1:11" ht="22" customHeight="1" x14ac:dyDescent="0.2">
      <c r="A216" s="29" t="str">
        <f t="shared" si="10"/>
        <v>ARDR</v>
      </c>
      <c r="B216" s="8">
        <v>212</v>
      </c>
      <c r="C216" t="str">
        <f>PROPER(VLOOKUP($B216, Sheet4!$B:$I,C$3,0))</f>
        <v>Ardor (Ardr)</v>
      </c>
      <c r="D216" t="str">
        <f>PROPER(VLOOKUP($B216, Sheet4!$B:$I,D$3,0))</f>
        <v>$0.252996</v>
      </c>
      <c r="E216" t="str">
        <f>PROPER(VLOOKUP($B216, Sheet4!$B:$I,E$3,0))</f>
        <v>-0.013</v>
      </c>
      <c r="F216" t="str">
        <f>PROPER(VLOOKUP($B216, Sheet4!$B:$I,F$3,0))</f>
        <v>-0.032</v>
      </c>
      <c r="G216" t="str">
        <f>PROPER(VLOOKUP($B216, Sheet4!$B:$I,G$3,0))</f>
        <v>-0.096</v>
      </c>
      <c r="H216" t="str">
        <f>PROPER(VLOOKUP($B216, Sheet4!$B:$I,H$3,0))</f>
        <v>$11,878,955</v>
      </c>
      <c r="I216" t="str">
        <f>PROPER(VLOOKUP($B216, Sheet4!$B:$I,I$3,0))</f>
        <v>$255,576,536</v>
      </c>
      <c r="J216" t="str">
        <f t="shared" si="11"/>
        <v>0.252996</v>
      </c>
      <c r="K216">
        <f t="shared" si="9"/>
        <v>-3.2</v>
      </c>
    </row>
    <row r="217" spans="1:11" ht="22" customHeight="1" x14ac:dyDescent="0.2">
      <c r="A217" s="29" t="str">
        <f t="shared" si="10"/>
        <v>PROM</v>
      </c>
      <c r="B217" s="8">
        <v>213</v>
      </c>
      <c r="C217" t="str">
        <f>PROPER(VLOOKUP($B217, Sheet4!$B:$I,C$3,0))</f>
        <v>Prometeus (Prom)</v>
      </c>
      <c r="D217" t="str">
        <f>PROPER(VLOOKUP($B217, Sheet4!$B:$I,D$3,0))</f>
        <v>$15.45</v>
      </c>
      <c r="E217" t="str">
        <f>PROPER(VLOOKUP($B217, Sheet4!$B:$I,E$3,0))</f>
        <v>0.001</v>
      </c>
      <c r="F217" t="str">
        <f>PROPER(VLOOKUP($B217, Sheet4!$B:$I,F$3,0))</f>
        <v>-0.003</v>
      </c>
      <c r="G217" t="str">
        <f>PROPER(VLOOKUP($B217, Sheet4!$B:$I,G$3,0))</f>
        <v>0.034</v>
      </c>
      <c r="H217" t="str">
        <f>PROPER(VLOOKUP($B217, Sheet4!$B:$I,H$3,0))</f>
        <v>$8,257,860</v>
      </c>
      <c r="I217" t="str">
        <f>PROPER(VLOOKUP($B217, Sheet4!$B:$I,I$3,0))</f>
        <v>$254,139,402</v>
      </c>
      <c r="J217" t="str">
        <f t="shared" si="11"/>
        <v>15.45</v>
      </c>
      <c r="K217">
        <f t="shared" si="9"/>
        <v>-0.3</v>
      </c>
    </row>
    <row r="218" spans="1:11" ht="22" customHeight="1" x14ac:dyDescent="0.2">
      <c r="A218" s="29" t="str">
        <f t="shared" si="10"/>
        <v>EDEN</v>
      </c>
      <c r="B218" s="8">
        <v>214</v>
      </c>
      <c r="C218" t="str">
        <f>PROPER(VLOOKUP($B218, Sheet4!$B:$I,C$3,0))</f>
        <v>Eden (Eden)</v>
      </c>
      <c r="D218" t="str">
        <f>PROPER(VLOOKUP($B218, Sheet4!$B:$I,D$3,0))</f>
        <v>$3.15</v>
      </c>
      <c r="E218" t="str">
        <f>PROPER(VLOOKUP($B218, Sheet4!$B:$I,E$3,0))</f>
        <v>0.001</v>
      </c>
      <c r="F218" t="str">
        <f>PROPER(VLOOKUP($B218, Sheet4!$B:$I,F$3,0))</f>
        <v>-0.032</v>
      </c>
      <c r="G218" t="str">
        <f>PROPER(VLOOKUP($B218, Sheet4!$B:$I,G$3,0))</f>
        <v>-0.238</v>
      </c>
      <c r="H218" t="str">
        <f>PROPER(VLOOKUP($B218, Sheet4!$B:$I,H$3,0))</f>
        <v>$20,690,750</v>
      </c>
      <c r="I218" t="str">
        <f>PROPER(VLOOKUP($B218, Sheet4!$B:$I,I$3,0))</f>
        <v>$252,998,729</v>
      </c>
      <c r="J218" t="str">
        <f t="shared" si="11"/>
        <v>3.15</v>
      </c>
      <c r="K218">
        <f t="shared" si="9"/>
        <v>-3.2</v>
      </c>
    </row>
    <row r="219" spans="1:11" ht="22" customHeight="1" x14ac:dyDescent="0.2">
      <c r="A219" s="29" t="str">
        <f t="shared" si="10"/>
        <v>TOKE</v>
      </c>
      <c r="B219" s="8">
        <v>215</v>
      </c>
      <c r="C219" t="str">
        <f>PROPER(VLOOKUP($B219, Sheet4!$B:$I,C$3,0))</f>
        <v>Tokemak (Toke)</v>
      </c>
      <c r="D219" t="str">
        <f>PROPER(VLOOKUP($B219, Sheet4!$B:$I,D$3,0))</f>
        <v>$45.86</v>
      </c>
      <c r="E219" t="str">
        <f>PROPER(VLOOKUP($B219, Sheet4!$B:$I,E$3,0))</f>
        <v>0.001</v>
      </c>
      <c r="F219" t="str">
        <f>PROPER(VLOOKUP($B219, Sheet4!$B:$I,F$3,0))</f>
        <v>0.041</v>
      </c>
      <c r="G219" t="str">
        <f>PROPER(VLOOKUP($B219, Sheet4!$B:$I,G$3,0))</f>
        <v>0.548</v>
      </c>
      <c r="H219" t="str">
        <f>PROPER(VLOOKUP($B219, Sheet4!$B:$I,H$3,0))</f>
        <v>$25,388,336</v>
      </c>
      <c r="I219" t="str">
        <f>PROPER(VLOOKUP($B219, Sheet4!$B:$I,I$3,0))</f>
        <v>$252,747,610</v>
      </c>
      <c r="J219" t="str">
        <f t="shared" si="11"/>
        <v>45.86</v>
      </c>
      <c r="K219">
        <f t="shared" si="9"/>
        <v>4.1000000000000005</v>
      </c>
    </row>
    <row r="220" spans="1:11" ht="22" customHeight="1" x14ac:dyDescent="0.2">
      <c r="A220" s="29" t="str">
        <f t="shared" si="10"/>
        <v>GUSD</v>
      </c>
      <c r="B220" s="8">
        <v>216</v>
      </c>
      <c r="C220" t="str">
        <f>PROPER(VLOOKUP($B220, Sheet4!$B:$I,C$3,0))</f>
        <v>Gemini Dollar (Gusd)</v>
      </c>
      <c r="D220" t="str">
        <f>PROPER(VLOOKUP($B220, Sheet4!$B:$I,D$3,0))</f>
        <v>$0.997585</v>
      </c>
      <c r="E220" t="str">
        <f>PROPER(VLOOKUP($B220, Sheet4!$B:$I,E$3,0))</f>
        <v>-0.001</v>
      </c>
      <c r="F220" t="str">
        <f>PROPER(VLOOKUP($B220, Sheet4!$B:$I,F$3,0))</f>
        <v>-0.005</v>
      </c>
      <c r="G220" t="str">
        <f>PROPER(VLOOKUP($B220, Sheet4!$B:$I,G$3,0))</f>
        <v>0.006</v>
      </c>
      <c r="H220" t="str">
        <f>PROPER(VLOOKUP($B220, Sheet4!$B:$I,H$3,0))</f>
        <v>$13,626,338</v>
      </c>
      <c r="I220" t="str">
        <f>PROPER(VLOOKUP($B220, Sheet4!$B:$I,I$3,0))</f>
        <v>$251,270,927</v>
      </c>
      <c r="J220" t="str">
        <f t="shared" si="11"/>
        <v>0.997585</v>
      </c>
      <c r="K220">
        <f t="shared" si="9"/>
        <v>-0.5</v>
      </c>
    </row>
    <row r="221" spans="1:11" ht="22" customHeight="1" x14ac:dyDescent="0.2">
      <c r="A221" s="29" t="str">
        <f t="shared" si="10"/>
        <v>NPXS</v>
      </c>
      <c r="B221" s="8">
        <v>217</v>
      </c>
      <c r="C221" t="str">
        <f>PROPER(VLOOKUP($B221, Sheet4!$B:$I,C$3,0))</f>
        <v>Pundi X [Old] (Npxs)</v>
      </c>
      <c r="D221" t="str">
        <f>PROPER(VLOOKUP($B221, Sheet4!$B:$I,D$3,0))</f>
        <v>$0.001000614545</v>
      </c>
      <c r="E221" t="str">
        <f>PROPER(VLOOKUP($B221, Sheet4!$B:$I,E$3,0))</f>
        <v/>
      </c>
      <c r="F221" t="str">
        <f>PROPER(VLOOKUP($B221, Sheet4!$B:$I,F$3,0))</f>
        <v>-0.089</v>
      </c>
      <c r="G221" t="str">
        <f>PROPER(VLOOKUP($B221, Sheet4!$B:$I,G$3,0))</f>
        <v>-0.206</v>
      </c>
      <c r="H221" t="str">
        <f>PROPER(VLOOKUP($B221, Sheet4!$B:$I,H$3,0))</f>
        <v>$8,011.05</v>
      </c>
      <c r="I221" t="str">
        <f>PROPER(VLOOKUP($B221, Sheet4!$B:$I,I$3,0))</f>
        <v>$247,942,182</v>
      </c>
      <c r="J221" t="str">
        <f t="shared" si="11"/>
        <v>0.001000614545</v>
      </c>
      <c r="K221">
        <f t="shared" si="9"/>
        <v>-8.9</v>
      </c>
    </row>
    <row r="222" spans="1:11" ht="22" customHeight="1" x14ac:dyDescent="0.2">
      <c r="A222" s="29" t="str">
        <f t="shared" si="10"/>
        <v>OGN</v>
      </c>
      <c r="B222" s="8">
        <v>218</v>
      </c>
      <c r="C222" t="str">
        <f>PROPER(VLOOKUP($B222, Sheet4!$B:$I,C$3,0))</f>
        <v>Origin Protocol (Ogn)</v>
      </c>
      <c r="D222" t="str">
        <f>PROPER(VLOOKUP($B222, Sheet4!$B:$I,D$3,0))</f>
        <v>$0.695558</v>
      </c>
      <c r="E222" t="str">
        <f>PROPER(VLOOKUP($B222, Sheet4!$B:$I,E$3,0))</f>
        <v>0</v>
      </c>
      <c r="F222" t="str">
        <f>PROPER(VLOOKUP($B222, Sheet4!$B:$I,F$3,0))</f>
        <v>-0.019</v>
      </c>
      <c r="G222" t="str">
        <f>PROPER(VLOOKUP($B222, Sheet4!$B:$I,G$3,0))</f>
        <v>-0.023</v>
      </c>
      <c r="H222" t="str">
        <f>PROPER(VLOOKUP($B222, Sheet4!$B:$I,H$3,0))</f>
        <v>$29,268,004</v>
      </c>
      <c r="I222" t="str">
        <f>PROPER(VLOOKUP($B222, Sheet4!$B:$I,I$3,0))</f>
        <v>$247,128,556</v>
      </c>
      <c r="J222" t="str">
        <f t="shared" si="11"/>
        <v>0.695558</v>
      </c>
      <c r="K222">
        <f t="shared" si="9"/>
        <v>-1.9</v>
      </c>
    </row>
    <row r="223" spans="1:11" ht="22" customHeight="1" x14ac:dyDescent="0.2">
      <c r="A223" s="29" t="str">
        <f t="shared" si="10"/>
        <v>TON</v>
      </c>
      <c r="B223" s="8">
        <v>219</v>
      </c>
      <c r="C223" t="str">
        <f>PROPER(VLOOKUP($B223, Sheet4!$B:$I,C$3,0))</f>
        <v>Tokamak Network (Ton)</v>
      </c>
      <c r="D223" t="str">
        <f>PROPER(VLOOKUP($B223, Sheet4!$B:$I,D$3,0))</f>
        <v>$6.32</v>
      </c>
      <c r="E223" t="str">
        <f>PROPER(VLOOKUP($B223, Sheet4!$B:$I,E$3,0))</f>
        <v>-0.003</v>
      </c>
      <c r="F223" t="str">
        <f>PROPER(VLOOKUP($B223, Sheet4!$B:$I,F$3,0))</f>
        <v>-0.03</v>
      </c>
      <c r="G223" t="str">
        <f>PROPER(VLOOKUP($B223, Sheet4!$B:$I,G$3,0))</f>
        <v>-0.085</v>
      </c>
      <c r="H223" t="str">
        <f>PROPER(VLOOKUP($B223, Sheet4!$B:$I,H$3,0))</f>
        <v>$8,021,484</v>
      </c>
      <c r="I223" t="str">
        <f>PROPER(VLOOKUP($B223, Sheet4!$B:$I,I$3,0))</f>
        <v>$247,126,217</v>
      </c>
      <c r="J223" t="str">
        <f t="shared" si="11"/>
        <v>6.32</v>
      </c>
      <c r="K223">
        <f t="shared" si="9"/>
        <v>-3</v>
      </c>
    </row>
    <row r="224" spans="1:11" ht="22" customHeight="1" x14ac:dyDescent="0.2">
      <c r="A224" s="29" t="str">
        <f t="shared" si="10"/>
        <v>CVXCRV</v>
      </c>
      <c r="B224" s="8">
        <v>220</v>
      </c>
      <c r="C224" t="str">
        <f>PROPER(VLOOKUP($B224, Sheet4!$B:$I,C$3,0))</f>
        <v>Convex Crv (Cvxcrv)</v>
      </c>
      <c r="D224" t="str">
        <f>PROPER(VLOOKUP($B224, Sheet4!$B:$I,D$3,0))</f>
        <v>$2.18</v>
      </c>
      <c r="E224" t="str">
        <f>PROPER(VLOOKUP($B224, Sheet4!$B:$I,E$3,0))</f>
        <v>-0.017</v>
      </c>
      <c r="F224" t="str">
        <f>PROPER(VLOOKUP($B224, Sheet4!$B:$I,F$3,0))</f>
        <v>-0.051</v>
      </c>
      <c r="G224" t="str">
        <f>PROPER(VLOOKUP($B224, Sheet4!$B:$I,G$3,0))</f>
        <v>0.007</v>
      </c>
      <c r="H224" t="str">
        <f>PROPER(VLOOKUP($B224, Sheet4!$B:$I,H$3,0))</f>
        <v>$817,338</v>
      </c>
      <c r="I224" t="str">
        <f>PROPER(VLOOKUP($B224, Sheet4!$B:$I,I$3,0))</f>
        <v>$245,367,142</v>
      </c>
      <c r="J224" t="str">
        <f t="shared" si="11"/>
        <v>2.18</v>
      </c>
      <c r="K224">
        <f t="shared" si="9"/>
        <v>-5.0999999999999996</v>
      </c>
    </row>
    <row r="225" spans="1:11" ht="22" customHeight="1" x14ac:dyDescent="0.2">
      <c r="A225" s="29" t="str">
        <f t="shared" si="10"/>
        <v>REEF</v>
      </c>
      <c r="B225" s="8">
        <v>221</v>
      </c>
      <c r="C225" t="str">
        <f>PROPER(VLOOKUP($B225, Sheet4!$B:$I,C$3,0))</f>
        <v>Reef Finance (Reef)</v>
      </c>
      <c r="D225" t="str">
        <f>PROPER(VLOOKUP($B225, Sheet4!$B:$I,D$3,0))</f>
        <v>$0.017623908444</v>
      </c>
      <c r="E225" t="str">
        <f>PROPER(VLOOKUP($B225, Sheet4!$B:$I,E$3,0))</f>
        <v>-0.003</v>
      </c>
      <c r="F225" t="str">
        <f>PROPER(VLOOKUP($B225, Sheet4!$B:$I,F$3,0))</f>
        <v>-0.009</v>
      </c>
      <c r="G225" t="str">
        <f>PROPER(VLOOKUP($B225, Sheet4!$B:$I,G$3,0))</f>
        <v>0.015</v>
      </c>
      <c r="H225" t="str">
        <f>PROPER(VLOOKUP($B225, Sheet4!$B:$I,H$3,0))</f>
        <v>$26,404,224</v>
      </c>
      <c r="I225" t="str">
        <f>PROPER(VLOOKUP($B225, Sheet4!$B:$I,I$3,0))</f>
        <v>$244,171,919</v>
      </c>
      <c r="J225" t="str">
        <f t="shared" si="11"/>
        <v>0.017623908444</v>
      </c>
      <c r="K225">
        <f t="shared" si="9"/>
        <v>-0.89999999999999991</v>
      </c>
    </row>
    <row r="226" spans="1:11" ht="22" customHeight="1" x14ac:dyDescent="0.2">
      <c r="A226" s="29" t="str">
        <f t="shared" si="10"/>
        <v>MASK</v>
      </c>
      <c r="B226" s="8">
        <v>222</v>
      </c>
      <c r="C226" t="str">
        <f>PROPER(VLOOKUP($B226, Sheet4!$B:$I,C$3,0))</f>
        <v>Mask Network (Mask)</v>
      </c>
      <c r="D226" t="str">
        <f>PROPER(VLOOKUP($B226, Sheet4!$B:$I,D$3,0))</f>
        <v>$8.21</v>
      </c>
      <c r="E226" t="str">
        <f>PROPER(VLOOKUP($B226, Sheet4!$B:$I,E$3,0))</f>
        <v>0.007</v>
      </c>
      <c r="F226" t="str">
        <f>PROPER(VLOOKUP($B226, Sheet4!$B:$I,F$3,0))</f>
        <v>-0.036</v>
      </c>
      <c r="G226" t="str">
        <f>PROPER(VLOOKUP($B226, Sheet4!$B:$I,G$3,0))</f>
        <v>0.007</v>
      </c>
      <c r="H226" t="str">
        <f>PROPER(VLOOKUP($B226, Sheet4!$B:$I,H$3,0))</f>
        <v>$64,101,937</v>
      </c>
      <c r="I226" t="str">
        <f>PROPER(VLOOKUP($B226, Sheet4!$B:$I,I$3,0))</f>
        <v>$242,335,657</v>
      </c>
      <c r="J226" t="str">
        <f t="shared" si="11"/>
        <v>8.21</v>
      </c>
      <c r="K226">
        <f t="shared" si="9"/>
        <v>-3.5999999999999996</v>
      </c>
    </row>
    <row r="227" spans="1:11" ht="22" customHeight="1" x14ac:dyDescent="0.2">
      <c r="A227" s="29" t="str">
        <f t="shared" si="10"/>
        <v>ALUSD</v>
      </c>
      <c r="B227" s="8">
        <v>223</v>
      </c>
      <c r="C227" t="str">
        <f>PROPER(VLOOKUP($B227, Sheet4!$B:$I,C$3,0))</f>
        <v>Alchemix Usd (Alusd)</v>
      </c>
      <c r="D227" t="str">
        <f>PROPER(VLOOKUP($B227, Sheet4!$B:$I,D$3,0))</f>
        <v>$0.997606</v>
      </c>
      <c r="E227" t="str">
        <f>PROPER(VLOOKUP($B227, Sheet4!$B:$I,E$3,0))</f>
        <v/>
      </c>
      <c r="F227" t="str">
        <f>PROPER(VLOOKUP($B227, Sheet4!$B:$I,F$3,0))</f>
        <v>-0.007</v>
      </c>
      <c r="G227" t="str">
        <f>PROPER(VLOOKUP($B227, Sheet4!$B:$I,G$3,0))</f>
        <v>-0.004</v>
      </c>
      <c r="H227" t="str">
        <f>PROPER(VLOOKUP($B227, Sheet4!$B:$I,H$3,0))</f>
        <v>$762,547</v>
      </c>
      <c r="I227" t="str">
        <f>PROPER(VLOOKUP($B227, Sheet4!$B:$I,I$3,0))</f>
        <v>$238,403,988</v>
      </c>
      <c r="J227" t="str">
        <f t="shared" si="11"/>
        <v>0.997606</v>
      </c>
      <c r="K227">
        <f t="shared" si="9"/>
        <v>-0.70000000000000007</v>
      </c>
    </row>
    <row r="228" spans="1:11" ht="22" customHeight="1" x14ac:dyDescent="0.2">
      <c r="A228" s="29" t="str">
        <f t="shared" si="10"/>
        <v>CVX</v>
      </c>
      <c r="B228" s="8">
        <v>224</v>
      </c>
      <c r="C228" t="str">
        <f>PROPER(VLOOKUP($B228, Sheet4!$B:$I,C$3,0))</f>
        <v>Convex Finance (Cvx)</v>
      </c>
      <c r="D228" t="str">
        <f>PROPER(VLOOKUP($B228, Sheet4!$B:$I,D$3,0))</f>
        <v>$8.65</v>
      </c>
      <c r="E228" t="str">
        <f>PROPER(VLOOKUP($B228, Sheet4!$B:$I,E$3,0))</f>
        <v>0.006</v>
      </c>
      <c r="F228" t="str">
        <f>PROPER(VLOOKUP($B228, Sheet4!$B:$I,F$3,0))</f>
        <v>-0.009</v>
      </c>
      <c r="G228" t="str">
        <f>PROPER(VLOOKUP($B228, Sheet4!$B:$I,G$3,0))</f>
        <v>0.063</v>
      </c>
      <c r="H228" t="str">
        <f>PROPER(VLOOKUP($B228, Sheet4!$B:$I,H$3,0))</f>
        <v>$9,315,281</v>
      </c>
      <c r="I228" t="str">
        <f>PROPER(VLOOKUP($B228, Sheet4!$B:$I,I$3,0))</f>
        <v>$237,411,829</v>
      </c>
      <c r="J228" t="str">
        <f t="shared" si="11"/>
        <v>8.65</v>
      </c>
      <c r="K228">
        <f t="shared" si="9"/>
        <v>-0.89999999999999991</v>
      </c>
    </row>
    <row r="229" spans="1:11" ht="22" customHeight="1" x14ac:dyDescent="0.2">
      <c r="A229" s="29" t="str">
        <f t="shared" si="10"/>
        <v>XVS</v>
      </c>
      <c r="B229" s="8">
        <v>225</v>
      </c>
      <c r="C229" t="str">
        <f>PROPER(VLOOKUP($B229, Sheet4!$B:$I,C$3,0))</f>
        <v>Venus (Xvs)</v>
      </c>
      <c r="D229" t="str">
        <f>PROPER(VLOOKUP($B229, Sheet4!$B:$I,D$3,0))</f>
        <v>$20.94</v>
      </c>
      <c r="E229" t="str">
        <f>PROPER(VLOOKUP($B229, Sheet4!$B:$I,E$3,0))</f>
        <v>0.001</v>
      </c>
      <c r="F229" t="str">
        <f>PROPER(VLOOKUP($B229, Sheet4!$B:$I,F$3,0))</f>
        <v>0</v>
      </c>
      <c r="G229" t="str">
        <f>PROPER(VLOOKUP($B229, Sheet4!$B:$I,G$3,0))</f>
        <v>-0.058</v>
      </c>
      <c r="H229" t="str">
        <f>PROPER(VLOOKUP($B229, Sheet4!$B:$I,H$3,0))</f>
        <v>$16,635,559</v>
      </c>
      <c r="I229" t="str">
        <f>PROPER(VLOOKUP($B229, Sheet4!$B:$I,I$3,0))</f>
        <v>$235,538,607</v>
      </c>
      <c r="J229" t="str">
        <f t="shared" si="11"/>
        <v>20.94</v>
      </c>
      <c r="K229">
        <f t="shared" si="9"/>
        <v>0</v>
      </c>
    </row>
    <row r="230" spans="1:11" ht="22" customHeight="1" x14ac:dyDescent="0.2">
      <c r="A230" s="29" t="str">
        <f t="shared" si="10"/>
        <v>RLC</v>
      </c>
      <c r="B230" s="8">
        <v>226</v>
      </c>
      <c r="C230" t="str">
        <f>PROPER(VLOOKUP($B230, Sheet4!$B:$I,C$3,0))</f>
        <v>Iexec Rlc (Rlc)</v>
      </c>
      <c r="D230" t="str">
        <f>PROPER(VLOOKUP($B230, Sheet4!$B:$I,D$3,0))</f>
        <v>$3.24</v>
      </c>
      <c r="E230" t="str">
        <f>PROPER(VLOOKUP($B230, Sheet4!$B:$I,E$3,0))</f>
        <v>-0.005</v>
      </c>
      <c r="F230" t="str">
        <f>PROPER(VLOOKUP($B230, Sheet4!$B:$I,F$3,0))</f>
        <v>0.003</v>
      </c>
      <c r="G230" t="str">
        <f>PROPER(VLOOKUP($B230, Sheet4!$B:$I,G$3,0))</f>
        <v>0.083</v>
      </c>
      <c r="H230" t="str">
        <f>PROPER(VLOOKUP($B230, Sheet4!$B:$I,H$3,0))</f>
        <v>$13,924,423</v>
      </c>
      <c r="I230" t="str">
        <f>PROPER(VLOOKUP($B230, Sheet4!$B:$I,I$3,0))</f>
        <v>$231,398,305</v>
      </c>
      <c r="J230" t="str">
        <f t="shared" si="11"/>
        <v>3.24</v>
      </c>
      <c r="K230">
        <f t="shared" si="9"/>
        <v>0.3</v>
      </c>
    </row>
    <row r="231" spans="1:11" ht="22" customHeight="1" x14ac:dyDescent="0.2">
      <c r="A231" s="29" t="str">
        <f t="shared" si="10"/>
        <v>BFC</v>
      </c>
      <c r="B231" s="8">
        <v>227</v>
      </c>
      <c r="C231" t="str">
        <f>PROPER(VLOOKUP($B231, Sheet4!$B:$I,C$3,0))</f>
        <v>Bifrost (Bfc)</v>
      </c>
      <c r="D231" t="str">
        <f>PROPER(VLOOKUP($B231, Sheet4!$B:$I,D$3,0))</f>
        <v>$0.250562</v>
      </c>
      <c r="E231" t="str">
        <f>PROPER(VLOOKUP($B231, Sheet4!$B:$I,E$3,0))</f>
        <v>-0.015</v>
      </c>
      <c r="F231" t="str">
        <f>PROPER(VLOOKUP($B231, Sheet4!$B:$I,F$3,0))</f>
        <v>-0.023</v>
      </c>
      <c r="G231" t="str">
        <f>PROPER(VLOOKUP($B231, Sheet4!$B:$I,G$3,0))</f>
        <v>-0.018</v>
      </c>
      <c r="H231" t="str">
        <f>PROPER(VLOOKUP($B231, Sheet4!$B:$I,H$3,0))</f>
        <v>$8,670,691</v>
      </c>
      <c r="I231" t="str">
        <f>PROPER(VLOOKUP($B231, Sheet4!$B:$I,I$3,0))</f>
        <v>$229,129,896</v>
      </c>
      <c r="J231" t="str">
        <f t="shared" si="11"/>
        <v>0.250562</v>
      </c>
      <c r="K231">
        <f t="shared" si="9"/>
        <v>-2.2999999999999998</v>
      </c>
    </row>
    <row r="232" spans="1:11" ht="22" customHeight="1" x14ac:dyDescent="0.2">
      <c r="A232" s="29" t="str">
        <f t="shared" si="10"/>
        <v>NMR</v>
      </c>
      <c r="B232" s="8">
        <v>228</v>
      </c>
      <c r="C232" t="str">
        <f>PROPER(VLOOKUP($B232, Sheet4!$B:$I,C$3,0))</f>
        <v>Numeraire (Nmr)</v>
      </c>
      <c r="D232" t="str">
        <f>PROPER(VLOOKUP($B232, Sheet4!$B:$I,D$3,0))</f>
        <v>$39.77</v>
      </c>
      <c r="E232" t="str">
        <f>PROPER(VLOOKUP($B232, Sheet4!$B:$I,E$3,0))</f>
        <v>-0.008</v>
      </c>
      <c r="F232" t="str">
        <f>PROPER(VLOOKUP($B232, Sheet4!$B:$I,F$3,0))</f>
        <v>0.002</v>
      </c>
      <c r="G232" t="str">
        <f>PROPER(VLOOKUP($B232, Sheet4!$B:$I,G$3,0))</f>
        <v>0.068</v>
      </c>
      <c r="H232" t="str">
        <f>PROPER(VLOOKUP($B232, Sheet4!$B:$I,H$3,0))</f>
        <v>$17,250,027</v>
      </c>
      <c r="I232" t="str">
        <f>PROPER(VLOOKUP($B232, Sheet4!$B:$I,I$3,0))</f>
        <v>$232,457,105</v>
      </c>
      <c r="J232" t="str">
        <f t="shared" si="11"/>
        <v>39.77</v>
      </c>
      <c r="K232">
        <f t="shared" si="9"/>
        <v>0.2</v>
      </c>
    </row>
    <row r="233" spans="1:11" ht="22" customHeight="1" x14ac:dyDescent="0.2">
      <c r="A233" s="29" t="str">
        <f t="shared" si="10"/>
        <v>TON</v>
      </c>
      <c r="B233" s="8">
        <v>229</v>
      </c>
      <c r="C233" t="str">
        <f>PROPER(VLOOKUP($B233, Sheet4!$B:$I,C$3,0))</f>
        <v>Ton Crystal (Ton)</v>
      </c>
      <c r="D233" t="str">
        <f>PROPER(VLOOKUP($B233, Sheet4!$B:$I,D$3,0))</f>
        <v>$0.363109</v>
      </c>
      <c r="E233" t="str">
        <f>PROPER(VLOOKUP($B233, Sheet4!$B:$I,E$3,0))</f>
        <v>0.01</v>
      </c>
      <c r="F233" t="str">
        <f>PROPER(VLOOKUP($B233, Sheet4!$B:$I,F$3,0))</f>
        <v>0.009</v>
      </c>
      <c r="G233" t="str">
        <f>PROPER(VLOOKUP($B233, Sheet4!$B:$I,G$3,0))</f>
        <v>-0.022</v>
      </c>
      <c r="H233" t="str">
        <f>PROPER(VLOOKUP($B233, Sheet4!$B:$I,H$3,0))</f>
        <v>$6,567,093</v>
      </c>
      <c r="I233" t="str">
        <f>PROPER(VLOOKUP($B233, Sheet4!$B:$I,I$3,0))</f>
        <v>$231,521,375</v>
      </c>
      <c r="J233" t="str">
        <f t="shared" si="11"/>
        <v>0.363109</v>
      </c>
      <c r="K233">
        <f t="shared" si="9"/>
        <v>0.89999999999999991</v>
      </c>
    </row>
    <row r="234" spans="1:11" ht="22" customHeight="1" x14ac:dyDescent="0.2">
      <c r="A234" s="29" t="str">
        <f t="shared" si="10"/>
        <v>ORN</v>
      </c>
      <c r="B234" s="8">
        <v>230</v>
      </c>
      <c r="C234" t="str">
        <f>PROPER(VLOOKUP($B234, Sheet4!$B:$I,C$3,0))</f>
        <v>Orion Protocol (Orn)</v>
      </c>
      <c r="D234" t="str">
        <f>PROPER(VLOOKUP($B234, Sheet4!$B:$I,D$3,0))</f>
        <v>$7.45</v>
      </c>
      <c r="E234" t="str">
        <f>PROPER(VLOOKUP($B234, Sheet4!$B:$I,E$3,0))</f>
        <v>0</v>
      </c>
      <c r="F234" t="str">
        <f>PROPER(VLOOKUP($B234, Sheet4!$B:$I,F$3,0))</f>
        <v>-0.028</v>
      </c>
      <c r="G234" t="str">
        <f>PROPER(VLOOKUP($B234, Sheet4!$B:$I,G$3,0))</f>
        <v>-0.036</v>
      </c>
      <c r="H234" t="str">
        <f>PROPER(VLOOKUP($B234, Sheet4!$B:$I,H$3,0))</f>
        <v>$14,314,711</v>
      </c>
      <c r="I234" t="str">
        <f>PROPER(VLOOKUP($B234, Sheet4!$B:$I,I$3,0))</f>
        <v>$230,385,087</v>
      </c>
      <c r="J234" t="str">
        <f t="shared" si="11"/>
        <v>7.45</v>
      </c>
      <c r="K234">
        <f t="shared" si="9"/>
        <v>-2.8000000000000003</v>
      </c>
    </row>
    <row r="235" spans="1:11" ht="22" customHeight="1" x14ac:dyDescent="0.2">
      <c r="A235" s="29" t="str">
        <f t="shared" si="10"/>
        <v>CTSI</v>
      </c>
      <c r="B235" s="8">
        <v>231</v>
      </c>
      <c r="C235" t="str">
        <f>PROPER(VLOOKUP($B235, Sheet4!$B:$I,C$3,0))</f>
        <v>Cartesi (Ctsi)</v>
      </c>
      <c r="D235" t="str">
        <f>PROPER(VLOOKUP($B235, Sheet4!$B:$I,D$3,0))</f>
        <v>$0.544953</v>
      </c>
      <c r="E235" t="str">
        <f>PROPER(VLOOKUP($B235, Sheet4!$B:$I,E$3,0))</f>
        <v>0.003</v>
      </c>
      <c r="F235" t="str">
        <f>PROPER(VLOOKUP($B235, Sheet4!$B:$I,F$3,0))</f>
        <v>-0.028</v>
      </c>
      <c r="G235" t="str">
        <f>PROPER(VLOOKUP($B235, Sheet4!$B:$I,G$3,0))</f>
        <v>0.097</v>
      </c>
      <c r="H235" t="str">
        <f>PROPER(VLOOKUP($B235, Sheet4!$B:$I,H$3,0))</f>
        <v>$20,530,471</v>
      </c>
      <c r="I235" t="str">
        <f>PROPER(VLOOKUP($B235, Sheet4!$B:$I,I$3,0))</f>
        <v>$229,440,927</v>
      </c>
      <c r="J235" t="str">
        <f t="shared" si="11"/>
        <v>0.544953</v>
      </c>
      <c r="K235">
        <f t="shared" si="9"/>
        <v>-2.8000000000000003</v>
      </c>
    </row>
    <row r="236" spans="1:11" ht="22" customHeight="1" x14ac:dyDescent="0.2">
      <c r="A236" s="29" t="str">
        <f t="shared" si="10"/>
        <v>LDO</v>
      </c>
      <c r="B236" s="8">
        <v>232</v>
      </c>
      <c r="C236" t="str">
        <f>PROPER(VLOOKUP($B236, Sheet4!$B:$I,C$3,0))</f>
        <v>Lido Dao (Ldo)</v>
      </c>
      <c r="D236" t="str">
        <f>PROPER(VLOOKUP($B236, Sheet4!$B:$I,D$3,0))</f>
        <v>$4.58</v>
      </c>
      <c r="E236" t="str">
        <f>PROPER(VLOOKUP($B236, Sheet4!$B:$I,E$3,0))</f>
        <v>0.022</v>
      </c>
      <c r="F236" t="str">
        <f>PROPER(VLOOKUP($B236, Sheet4!$B:$I,F$3,0))</f>
        <v>-0.03</v>
      </c>
      <c r="G236" t="str">
        <f>PROPER(VLOOKUP($B236, Sheet4!$B:$I,G$3,0))</f>
        <v>0.007</v>
      </c>
      <c r="H236" t="str">
        <f>PROPER(VLOOKUP($B236, Sheet4!$B:$I,H$3,0))</f>
        <v>$2,516,893</v>
      </c>
      <c r="I236" t="str">
        <f>PROPER(VLOOKUP($B236, Sheet4!$B:$I,I$3,0))</f>
        <v>$228,144,757</v>
      </c>
      <c r="J236" t="str">
        <f t="shared" si="11"/>
        <v>4.58</v>
      </c>
      <c r="K236">
        <f t="shared" si="9"/>
        <v>-3</v>
      </c>
    </row>
    <row r="237" spans="1:11" ht="22" customHeight="1" x14ac:dyDescent="0.2">
      <c r="A237" s="29" t="str">
        <f t="shared" si="10"/>
        <v>RGT</v>
      </c>
      <c r="B237" s="8">
        <v>233</v>
      </c>
      <c r="C237" t="str">
        <f>PROPER(VLOOKUP($B237, Sheet4!$B:$I,C$3,0))</f>
        <v>Rari Governance Token (Rgt)</v>
      </c>
      <c r="D237" t="str">
        <f>PROPER(VLOOKUP($B237, Sheet4!$B:$I,D$3,0))</f>
        <v>$19.73</v>
      </c>
      <c r="E237" t="str">
        <f>PROPER(VLOOKUP($B237, Sheet4!$B:$I,E$3,0))</f>
        <v>-0.006</v>
      </c>
      <c r="F237" t="str">
        <f>PROPER(VLOOKUP($B237, Sheet4!$B:$I,F$3,0))</f>
        <v>-0.037</v>
      </c>
      <c r="G237" t="str">
        <f>PROPER(VLOOKUP($B237, Sheet4!$B:$I,G$3,0))</f>
        <v>0.346</v>
      </c>
      <c r="H237" t="str">
        <f>PROPER(VLOOKUP($B237, Sheet4!$B:$I,H$3,0))</f>
        <v>$2,717,457</v>
      </c>
      <c r="I237" t="str">
        <f>PROPER(VLOOKUP($B237, Sheet4!$B:$I,I$3,0))</f>
        <v>$222,056,962</v>
      </c>
      <c r="J237" t="str">
        <f t="shared" si="11"/>
        <v>19.73</v>
      </c>
      <c r="K237">
        <f t="shared" si="9"/>
        <v>-3.6999999999999997</v>
      </c>
    </row>
    <row r="238" spans="1:11" ht="22" customHeight="1" x14ac:dyDescent="0.2">
      <c r="A238" s="29" t="str">
        <f t="shared" si="10"/>
        <v>PEAK</v>
      </c>
      <c r="B238" s="8">
        <v>234</v>
      </c>
      <c r="C238" t="str">
        <f>PROPER(VLOOKUP($B238, Sheet4!$B:$I,C$3,0))</f>
        <v>Peakdefi (Peak)</v>
      </c>
      <c r="D238" t="str">
        <f>PROPER(VLOOKUP($B238, Sheet4!$B:$I,D$3,0))</f>
        <v>$0.236504</v>
      </c>
      <c r="E238" t="str">
        <f>PROPER(VLOOKUP($B238, Sheet4!$B:$I,E$3,0))</f>
        <v>-0.006</v>
      </c>
      <c r="F238" t="str">
        <f>PROPER(VLOOKUP($B238, Sheet4!$B:$I,F$3,0))</f>
        <v>-0.017</v>
      </c>
      <c r="G238" t="str">
        <f>PROPER(VLOOKUP($B238, Sheet4!$B:$I,G$3,0))</f>
        <v>-0.085</v>
      </c>
      <c r="H238" t="str">
        <f>PROPER(VLOOKUP($B238, Sheet4!$B:$I,H$3,0))</f>
        <v>$89,099</v>
      </c>
      <c r="I238" t="str">
        <f>PROPER(VLOOKUP($B238, Sheet4!$B:$I,I$3,0))</f>
        <v>$224,948,229</v>
      </c>
      <c r="J238" t="str">
        <f t="shared" si="11"/>
        <v>0.236504</v>
      </c>
      <c r="K238">
        <f t="shared" si="9"/>
        <v>-1.7000000000000002</v>
      </c>
    </row>
    <row r="239" spans="1:11" ht="22" customHeight="1" x14ac:dyDescent="0.2">
      <c r="A239" s="29" t="str">
        <f t="shared" si="10"/>
        <v>MAID</v>
      </c>
      <c r="B239" s="8">
        <v>235</v>
      </c>
      <c r="C239" t="str">
        <f>PROPER(VLOOKUP($B239, Sheet4!$B:$I,C$3,0))</f>
        <v>Maidsafecoin (Maid)</v>
      </c>
      <c r="D239" t="str">
        <f>PROPER(VLOOKUP($B239, Sheet4!$B:$I,D$3,0))</f>
        <v>$0.490392</v>
      </c>
      <c r="E239" t="str">
        <f>PROPER(VLOOKUP($B239, Sheet4!$B:$I,E$3,0))</f>
        <v>-0.004</v>
      </c>
      <c r="F239" t="str">
        <f>PROPER(VLOOKUP($B239, Sheet4!$B:$I,F$3,0))</f>
        <v>0.009</v>
      </c>
      <c r="G239" t="str">
        <f>PROPER(VLOOKUP($B239, Sheet4!$B:$I,G$3,0))</f>
        <v>0.06</v>
      </c>
      <c r="H239" t="str">
        <f>PROPER(VLOOKUP($B239, Sheet4!$B:$I,H$3,0))</f>
        <v>$695,319</v>
      </c>
      <c r="I239" t="str">
        <f>PROPER(VLOOKUP($B239, Sheet4!$B:$I,I$3,0))</f>
        <v>$221,928,128</v>
      </c>
      <c r="J239" t="str">
        <f t="shared" si="11"/>
        <v>0.490392</v>
      </c>
      <c r="K239">
        <f t="shared" si="9"/>
        <v>0.89999999999999991</v>
      </c>
    </row>
    <row r="240" spans="1:11" ht="22" customHeight="1" x14ac:dyDescent="0.2">
      <c r="A240" s="29" t="str">
        <f t="shared" si="10"/>
        <v>DERO</v>
      </c>
      <c r="B240" s="8">
        <v>236</v>
      </c>
      <c r="C240" t="str">
        <f>PROPER(VLOOKUP($B240, Sheet4!$B:$I,C$3,0))</f>
        <v>Dero (Dero)</v>
      </c>
      <c r="D240" t="str">
        <f>PROPER(VLOOKUP($B240, Sheet4!$B:$I,D$3,0))</f>
        <v>$19.87</v>
      </c>
      <c r="E240" t="str">
        <f>PROPER(VLOOKUP($B240, Sheet4!$B:$I,E$3,0))</f>
        <v>-0.002</v>
      </c>
      <c r="F240" t="str">
        <f>PROPER(VLOOKUP($B240, Sheet4!$B:$I,F$3,0))</f>
        <v>0.155</v>
      </c>
      <c r="G240" t="str">
        <f>PROPER(VLOOKUP($B240, Sheet4!$B:$I,G$3,0))</f>
        <v>0.156</v>
      </c>
      <c r="H240" t="str">
        <f>PROPER(VLOOKUP($B240, Sheet4!$B:$I,H$3,0))</f>
        <v>$1,864,128</v>
      </c>
      <c r="I240" t="str">
        <f>PROPER(VLOOKUP($B240, Sheet4!$B:$I,I$3,0))</f>
        <v>$218,714,737</v>
      </c>
      <c r="J240" t="str">
        <f t="shared" si="11"/>
        <v>19.87</v>
      </c>
      <c r="K240">
        <f t="shared" si="9"/>
        <v>15.5</v>
      </c>
    </row>
    <row r="241" spans="1:11" ht="22" customHeight="1" x14ac:dyDescent="0.2">
      <c r="A241" s="29" t="str">
        <f t="shared" si="10"/>
        <v>STMX</v>
      </c>
      <c r="B241" s="8">
        <v>237</v>
      </c>
      <c r="C241" t="str">
        <f>PROPER(VLOOKUP($B241, Sheet4!$B:$I,C$3,0))</f>
        <v>Stormx (Stmx)</v>
      </c>
      <c r="D241" t="str">
        <f>PROPER(VLOOKUP($B241, Sheet4!$B:$I,D$3,0))</f>
        <v>$0.023502301017</v>
      </c>
      <c r="E241" t="str">
        <f>PROPER(VLOOKUP($B241, Sheet4!$B:$I,E$3,0))</f>
        <v>0.003</v>
      </c>
      <c r="F241" t="str">
        <f>PROPER(VLOOKUP($B241, Sheet4!$B:$I,F$3,0))</f>
        <v>-0.024</v>
      </c>
      <c r="G241" t="str">
        <f>PROPER(VLOOKUP($B241, Sheet4!$B:$I,G$3,0))</f>
        <v>-0.067</v>
      </c>
      <c r="H241" t="str">
        <f>PROPER(VLOOKUP($B241, Sheet4!$B:$I,H$3,0))</f>
        <v>$6,271,032</v>
      </c>
      <c r="I241" t="str">
        <f>PROPER(VLOOKUP($B241, Sheet4!$B:$I,I$3,0))</f>
        <v>$218,414,181</v>
      </c>
      <c r="J241" t="str">
        <f t="shared" si="11"/>
        <v>0.023502301017</v>
      </c>
      <c r="K241">
        <f t="shared" si="9"/>
        <v>-2.4</v>
      </c>
    </row>
    <row r="242" spans="1:11" ht="22" customHeight="1" x14ac:dyDescent="0.2">
      <c r="A242" s="29" t="str">
        <f t="shared" si="10"/>
        <v>ROSE</v>
      </c>
      <c r="B242" s="8">
        <v>238</v>
      </c>
      <c r="C242" t="str">
        <f>PROPER(VLOOKUP($B242, Sheet4!$B:$I,C$3,0))</f>
        <v>Oasis Network (Rose)</v>
      </c>
      <c r="D242" t="str">
        <f>PROPER(VLOOKUP($B242, Sheet4!$B:$I,D$3,0))</f>
        <v>$0.143131</v>
      </c>
      <c r="E242" t="str">
        <f>PROPER(VLOOKUP($B242, Sheet4!$B:$I,E$3,0))</f>
        <v>-0.014</v>
      </c>
      <c r="F242" t="str">
        <f>PROPER(VLOOKUP($B242, Sheet4!$B:$I,F$3,0))</f>
        <v>-0.055</v>
      </c>
      <c r="G242" t="str">
        <f>PROPER(VLOOKUP($B242, Sheet4!$B:$I,G$3,0))</f>
        <v>-0.09</v>
      </c>
      <c r="H242" t="str">
        <f>PROPER(VLOOKUP($B242, Sheet4!$B:$I,H$3,0))</f>
        <v>$22,117,340</v>
      </c>
      <c r="I242" t="str">
        <f>PROPER(VLOOKUP($B242, Sheet4!$B:$I,I$3,0))</f>
        <v>$214,696,216</v>
      </c>
      <c r="J242" t="str">
        <f t="shared" si="11"/>
        <v>0.143131</v>
      </c>
      <c r="K242">
        <f t="shared" si="9"/>
        <v>-5.5</v>
      </c>
    </row>
    <row r="243" spans="1:11" ht="22" customHeight="1" x14ac:dyDescent="0.2">
      <c r="A243" s="29" t="str">
        <f t="shared" si="10"/>
        <v>ARK</v>
      </c>
      <c r="B243" s="8">
        <v>239</v>
      </c>
      <c r="C243" t="str">
        <f>PROPER(VLOOKUP($B243, Sheet4!$B:$I,C$3,0))</f>
        <v>Ark (Ark)</v>
      </c>
      <c r="D243" t="str">
        <f>PROPER(VLOOKUP($B243, Sheet4!$B:$I,D$3,0))</f>
        <v>$1.33</v>
      </c>
      <c r="E243" t="str">
        <f>PROPER(VLOOKUP($B243, Sheet4!$B:$I,E$3,0))</f>
        <v>-0.005</v>
      </c>
      <c r="F243" t="str">
        <f>PROPER(VLOOKUP($B243, Sheet4!$B:$I,F$3,0))</f>
        <v>-0.083</v>
      </c>
      <c r="G243" t="str">
        <f>PROPER(VLOOKUP($B243, Sheet4!$B:$I,G$3,0))</f>
        <v>-0.129</v>
      </c>
      <c r="H243" t="str">
        <f>PROPER(VLOOKUP($B243, Sheet4!$B:$I,H$3,0))</f>
        <v>$984,194</v>
      </c>
      <c r="I243" t="str">
        <f>PROPER(VLOOKUP($B243, Sheet4!$B:$I,I$3,0))</f>
        <v>$213,428,432</v>
      </c>
      <c r="J243" t="str">
        <f t="shared" si="11"/>
        <v>1.33</v>
      </c>
      <c r="K243">
        <f t="shared" si="9"/>
        <v>-8.3000000000000007</v>
      </c>
    </row>
    <row r="244" spans="1:11" ht="22" customHeight="1" x14ac:dyDescent="0.2">
      <c r="A244" s="29" t="str">
        <f t="shared" si="10"/>
        <v>SAPP</v>
      </c>
      <c r="B244" s="8">
        <v>240</v>
      </c>
      <c r="C244" t="str">
        <f>PROPER(VLOOKUP($B244, Sheet4!$B:$I,C$3,0))</f>
        <v>Sapphire (Sapp)</v>
      </c>
      <c r="D244" t="str">
        <f>PROPER(VLOOKUP($B244, Sheet4!$B:$I,D$3,0))</f>
        <v>$0.312361</v>
      </c>
      <c r="E244" t="str">
        <f>PROPER(VLOOKUP($B244, Sheet4!$B:$I,E$3,0))</f>
        <v>-0.007</v>
      </c>
      <c r="F244" t="str">
        <f>PROPER(VLOOKUP($B244, Sheet4!$B:$I,F$3,0))</f>
        <v>-0.02</v>
      </c>
      <c r="G244" t="str">
        <f>PROPER(VLOOKUP($B244, Sheet4!$B:$I,G$3,0))</f>
        <v>0.035</v>
      </c>
      <c r="H244" t="str">
        <f>PROPER(VLOOKUP($B244, Sheet4!$B:$I,H$3,0))</f>
        <v>$47,141</v>
      </c>
      <c r="I244" t="str">
        <f>PROPER(VLOOKUP($B244, Sheet4!$B:$I,I$3,0))</f>
        <v>$209,566,897</v>
      </c>
      <c r="J244" t="str">
        <f t="shared" si="11"/>
        <v>0.312361</v>
      </c>
      <c r="K244">
        <f t="shared" si="9"/>
        <v>-2</v>
      </c>
    </row>
    <row r="245" spans="1:11" ht="22" customHeight="1" x14ac:dyDescent="0.2">
      <c r="A245" s="29" t="str">
        <f t="shared" si="10"/>
        <v>ALBT</v>
      </c>
      <c r="B245" s="8">
        <v>241</v>
      </c>
      <c r="C245" t="str">
        <f>PROPER(VLOOKUP($B245, Sheet4!$B:$I,C$3,0))</f>
        <v>Allianceblock (Albt)</v>
      </c>
      <c r="D245" t="str">
        <f>PROPER(VLOOKUP($B245, Sheet4!$B:$I,D$3,0))</f>
        <v>$0.718987</v>
      </c>
      <c r="E245" t="str">
        <f>PROPER(VLOOKUP($B245, Sheet4!$B:$I,E$3,0))</f>
        <v>-0.004</v>
      </c>
      <c r="F245" t="str">
        <f>PROPER(VLOOKUP($B245, Sheet4!$B:$I,F$3,0))</f>
        <v>-0.058</v>
      </c>
      <c r="G245" t="str">
        <f>PROPER(VLOOKUP($B245, Sheet4!$B:$I,G$3,0))</f>
        <v>-0.008</v>
      </c>
      <c r="H245" t="str">
        <f>PROPER(VLOOKUP($B245, Sheet4!$B:$I,H$3,0))</f>
        <v>$2,673,067</v>
      </c>
      <c r="I245" t="str">
        <f>PROPER(VLOOKUP($B245, Sheet4!$B:$I,I$3,0))</f>
        <v>$208,960,720</v>
      </c>
      <c r="J245" t="str">
        <f t="shared" si="11"/>
        <v>0.718987</v>
      </c>
      <c r="K245">
        <f t="shared" si="9"/>
        <v>-5.8000000000000007</v>
      </c>
    </row>
    <row r="246" spans="1:11" ht="22" customHeight="1" x14ac:dyDescent="0.2">
      <c r="A246" s="29" t="str">
        <f t="shared" si="10"/>
        <v>KDA</v>
      </c>
      <c r="B246" s="8">
        <v>242</v>
      </c>
      <c r="C246" t="str">
        <f>PROPER(VLOOKUP($B246, Sheet4!$B:$I,C$3,0))</f>
        <v>Kadena (Kda)</v>
      </c>
      <c r="D246" t="str">
        <f>PROPER(VLOOKUP($B246, Sheet4!$B:$I,D$3,0))</f>
        <v>$1.40</v>
      </c>
      <c r="E246" t="str">
        <f>PROPER(VLOOKUP($B246, Sheet4!$B:$I,E$3,0))</f>
        <v>0.005</v>
      </c>
      <c r="F246" t="str">
        <f>PROPER(VLOOKUP($B246, Sheet4!$B:$I,F$3,0))</f>
        <v>-0.054</v>
      </c>
      <c r="G246" t="str">
        <f>PROPER(VLOOKUP($B246, Sheet4!$B:$I,G$3,0))</f>
        <v>-0.129</v>
      </c>
      <c r="H246" t="str">
        <f>PROPER(VLOOKUP($B246, Sheet4!$B:$I,H$3,0))</f>
        <v>$2,609,944</v>
      </c>
      <c r="I246" t="str">
        <f>PROPER(VLOOKUP($B246, Sheet4!$B:$I,I$3,0))</f>
        <v>$206,723,613</v>
      </c>
      <c r="J246" t="str">
        <f t="shared" si="11"/>
        <v>1.40</v>
      </c>
      <c r="K246">
        <f t="shared" si="9"/>
        <v>-5.4</v>
      </c>
    </row>
    <row r="247" spans="1:11" ht="22" customHeight="1" x14ac:dyDescent="0.2">
      <c r="A247" s="29" t="str">
        <f t="shared" si="10"/>
        <v>SUSD</v>
      </c>
      <c r="B247" s="8">
        <v>243</v>
      </c>
      <c r="C247" t="str">
        <f>PROPER(VLOOKUP($B247, Sheet4!$B:$I,C$3,0))</f>
        <v>Susd (Susd)</v>
      </c>
      <c r="D247" t="str">
        <f>PROPER(VLOOKUP($B247, Sheet4!$B:$I,D$3,0))</f>
        <v>$1.01</v>
      </c>
      <c r="E247" t="str">
        <f>PROPER(VLOOKUP($B247, Sheet4!$B:$I,E$3,0))</f>
        <v>0.004</v>
      </c>
      <c r="F247" t="str">
        <f>PROPER(VLOOKUP($B247, Sheet4!$B:$I,F$3,0))</f>
        <v>0.002</v>
      </c>
      <c r="G247" t="str">
        <f>PROPER(VLOOKUP($B247, Sheet4!$B:$I,G$3,0))</f>
        <v>0.01</v>
      </c>
      <c r="H247" t="str">
        <f>PROPER(VLOOKUP($B247, Sheet4!$B:$I,H$3,0))</f>
        <v>$13,717,973</v>
      </c>
      <c r="I247" t="str">
        <f>PROPER(VLOOKUP($B247, Sheet4!$B:$I,I$3,0))</f>
        <v>$206,223,128</v>
      </c>
      <c r="J247" t="str">
        <f t="shared" si="11"/>
        <v>1.01</v>
      </c>
      <c r="K247">
        <f t="shared" si="9"/>
        <v>0.2</v>
      </c>
    </row>
    <row r="248" spans="1:11" ht="22" customHeight="1" x14ac:dyDescent="0.2">
      <c r="A248" s="29" t="str">
        <f t="shared" si="10"/>
        <v>ACH</v>
      </c>
      <c r="B248" s="8">
        <v>244</v>
      </c>
      <c r="C248" t="str">
        <f>PROPER(VLOOKUP($B248, Sheet4!$B:$I,C$3,0))</f>
        <v>Alchemy Pay (Ach)</v>
      </c>
      <c r="D248" t="str">
        <f>PROPER(VLOOKUP($B248, Sheet4!$B:$I,D$3,0))</f>
        <v>$0.062352720543</v>
      </c>
      <c r="E248" t="str">
        <f>PROPER(VLOOKUP($B248, Sheet4!$B:$I,E$3,0))</f>
        <v>-0.004</v>
      </c>
      <c r="F248" t="str">
        <f>PROPER(VLOOKUP($B248, Sheet4!$B:$I,F$3,0))</f>
        <v>0.035</v>
      </c>
      <c r="G248" t="str">
        <f>PROPER(VLOOKUP($B248, Sheet4!$B:$I,G$3,0))</f>
        <v>-0.096</v>
      </c>
      <c r="H248" t="str">
        <f>PROPER(VLOOKUP($B248, Sheet4!$B:$I,H$3,0))</f>
        <v>$33,217,194</v>
      </c>
      <c r="I248" t="str">
        <f>PROPER(VLOOKUP($B248, Sheet4!$B:$I,I$3,0))</f>
        <v>$203,763,342</v>
      </c>
      <c r="J248" t="str">
        <f t="shared" si="11"/>
        <v>0.062352720543</v>
      </c>
      <c r="K248">
        <f t="shared" si="9"/>
        <v>3.5000000000000004</v>
      </c>
    </row>
    <row r="249" spans="1:11" ht="22" customHeight="1" x14ac:dyDescent="0.2">
      <c r="A249" s="29" t="str">
        <f t="shared" si="10"/>
        <v>BAL</v>
      </c>
      <c r="B249" s="8">
        <v>245</v>
      </c>
      <c r="C249" t="str">
        <f>PROPER(VLOOKUP($B249, Sheet4!$B:$I,C$3,0))</f>
        <v>Balancer (Bal)</v>
      </c>
      <c r="D249" t="str">
        <f>PROPER(VLOOKUP($B249, Sheet4!$B:$I,D$3,0))</f>
        <v>$18.72</v>
      </c>
      <c r="E249" t="str">
        <f>PROPER(VLOOKUP($B249, Sheet4!$B:$I,E$3,0))</f>
        <v>-0.002</v>
      </c>
      <c r="F249" t="str">
        <f>PROPER(VLOOKUP($B249, Sheet4!$B:$I,F$3,0))</f>
        <v>-0.029</v>
      </c>
      <c r="G249" t="str">
        <f>PROPER(VLOOKUP($B249, Sheet4!$B:$I,G$3,0))</f>
        <v>-0.042</v>
      </c>
      <c r="H249" t="str">
        <f>PROPER(VLOOKUP($B249, Sheet4!$B:$I,H$3,0))</f>
        <v>$26,300,217</v>
      </c>
      <c r="I249" t="str">
        <f>PROPER(VLOOKUP($B249, Sheet4!$B:$I,I$3,0))</f>
        <v>$202,044,365</v>
      </c>
      <c r="J249" t="str">
        <f t="shared" si="11"/>
        <v>18.72</v>
      </c>
      <c r="K249">
        <f t="shared" si="9"/>
        <v>-2.9000000000000004</v>
      </c>
    </row>
    <row r="250" spans="1:11" ht="22" customHeight="1" x14ac:dyDescent="0.2">
      <c r="A250" s="29" t="str">
        <f t="shared" si="10"/>
        <v>AGLD</v>
      </c>
      <c r="B250" s="8">
        <v>246</v>
      </c>
      <c r="C250" t="str">
        <f>PROPER(VLOOKUP($B250, Sheet4!$B:$I,C$3,0))</f>
        <v>Adventure Gold (Agld)</v>
      </c>
      <c r="D250" t="str">
        <f>PROPER(VLOOKUP($B250, Sheet4!$B:$I,D$3,0))</f>
        <v>$2.65</v>
      </c>
      <c r="E250" t="str">
        <f>PROPER(VLOOKUP($B250, Sheet4!$B:$I,E$3,0))</f>
        <v>0.014</v>
      </c>
      <c r="F250" t="str">
        <f>PROPER(VLOOKUP($B250, Sheet4!$B:$I,F$3,0))</f>
        <v>-0.051</v>
      </c>
      <c r="G250" t="str">
        <f>PROPER(VLOOKUP($B250, Sheet4!$B:$I,G$3,0))</f>
        <v>-0.179</v>
      </c>
      <c r="H250" t="str">
        <f>PROPER(VLOOKUP($B250, Sheet4!$B:$I,H$3,0))</f>
        <v>$41,953,827</v>
      </c>
      <c r="I250" t="str">
        <f>PROPER(VLOOKUP($B250, Sheet4!$B:$I,I$3,0))</f>
        <v>$200,449,389</v>
      </c>
      <c r="J250" t="str">
        <f t="shared" si="11"/>
        <v>2.65</v>
      </c>
      <c r="K250">
        <f t="shared" si="9"/>
        <v>-5.0999999999999996</v>
      </c>
    </row>
    <row r="251" spans="1:11" ht="22" customHeight="1" x14ac:dyDescent="0.2">
      <c r="A251" s="29" t="str">
        <f t="shared" si="10"/>
        <v>CUNI</v>
      </c>
      <c r="B251" s="8">
        <v>247</v>
      </c>
      <c r="C251" t="str">
        <f>PROPER(VLOOKUP($B251, Sheet4!$B:$I,C$3,0))</f>
        <v>Cuni (Cuni)</v>
      </c>
      <c r="D251" t="str">
        <f>PROPER(VLOOKUP($B251, Sheet4!$B:$I,D$3,0))</f>
        <v>$0.457584</v>
      </c>
      <c r="E251" t="str">
        <f>PROPER(VLOOKUP($B251, Sheet4!$B:$I,E$3,0))</f>
        <v>-0.016</v>
      </c>
      <c r="F251" t="str">
        <f>PROPER(VLOOKUP($B251, Sheet4!$B:$I,F$3,0))</f>
        <v>-0.066</v>
      </c>
      <c r="G251" t="str">
        <f>PROPER(VLOOKUP($B251, Sheet4!$B:$I,G$3,0))</f>
        <v>0.197</v>
      </c>
      <c r="H251" t="str">
        <f>PROPER(VLOOKUP($B251, Sheet4!$B:$I,H$3,0))</f>
        <v>$309,195</v>
      </c>
      <c r="I251" t="str">
        <f>PROPER(VLOOKUP($B251, Sheet4!$B:$I,I$3,0))</f>
        <v>$200,446,218</v>
      </c>
      <c r="J251" t="str">
        <f t="shared" si="11"/>
        <v>0.457584</v>
      </c>
      <c r="K251">
        <f t="shared" si="9"/>
        <v>-6.6000000000000005</v>
      </c>
    </row>
    <row r="252" spans="1:11" ht="22" customHeight="1" x14ac:dyDescent="0.2">
      <c r="A252" s="29" t="str">
        <f t="shared" si="10"/>
        <v>MLN</v>
      </c>
      <c r="B252" s="8">
        <v>248</v>
      </c>
      <c r="C252" t="str">
        <f>PROPER(VLOOKUP($B252, Sheet4!$B:$I,C$3,0))</f>
        <v>Enzyme (Mln)</v>
      </c>
      <c r="D252" t="str">
        <f>PROPER(VLOOKUP($B252, Sheet4!$B:$I,D$3,0))</f>
        <v>$138.84</v>
      </c>
      <c r="E252" t="str">
        <f>PROPER(VLOOKUP($B252, Sheet4!$B:$I,E$3,0))</f>
        <v>0.01</v>
      </c>
      <c r="F252" t="str">
        <f>PROPER(VLOOKUP($B252, Sheet4!$B:$I,F$3,0))</f>
        <v>0.026</v>
      </c>
      <c r="G252" t="str">
        <f>PROPER(VLOOKUP($B252, Sheet4!$B:$I,G$3,0))</f>
        <v>-0.154</v>
      </c>
      <c r="H252" t="str">
        <f>PROPER(VLOOKUP($B252, Sheet4!$B:$I,H$3,0))</f>
        <v>$43,617,461</v>
      </c>
      <c r="I252" t="str">
        <f>PROPER(VLOOKUP($B252, Sheet4!$B:$I,I$3,0))</f>
        <v>$201,790,190</v>
      </c>
      <c r="J252" t="str">
        <f t="shared" si="11"/>
        <v>138.84</v>
      </c>
      <c r="K252">
        <f t="shared" si="9"/>
        <v>2.6</v>
      </c>
    </row>
    <row r="253" spans="1:11" ht="22" customHeight="1" x14ac:dyDescent="0.2">
      <c r="A253" s="29" t="str">
        <f t="shared" si="10"/>
        <v>SBTC</v>
      </c>
      <c r="B253" s="8">
        <v>249</v>
      </c>
      <c r="C253" t="str">
        <f>PROPER(VLOOKUP($B253, Sheet4!$B:$I,C$3,0))</f>
        <v>Sbtc (Sbtc)</v>
      </c>
      <c r="D253" t="str">
        <f>PROPER(VLOOKUP($B253, Sheet4!$B:$I,D$3,0))</f>
        <v>$41,559</v>
      </c>
      <c r="E253" t="str">
        <f>PROPER(VLOOKUP($B253, Sheet4!$B:$I,E$3,0))</f>
        <v>-0.001</v>
      </c>
      <c r="F253" t="str">
        <f>PROPER(VLOOKUP($B253, Sheet4!$B:$I,F$3,0))</f>
        <v>-0.008</v>
      </c>
      <c r="G253" t="str">
        <f>PROPER(VLOOKUP($B253, Sheet4!$B:$I,G$3,0))</f>
        <v>0.179</v>
      </c>
      <c r="H253" t="str">
        <f>PROPER(VLOOKUP($B253, Sheet4!$B:$I,H$3,0))</f>
        <v>$10,470,980</v>
      </c>
      <c r="I253" t="str">
        <f>PROPER(VLOOKUP($B253, Sheet4!$B:$I,I$3,0))</f>
        <v>$196,502,221</v>
      </c>
      <c r="J253" t="str">
        <f t="shared" si="11"/>
        <v>41,559</v>
      </c>
      <c r="K253">
        <f t="shared" si="9"/>
        <v>-0.8</v>
      </c>
    </row>
    <row r="254" spans="1:11" ht="22" customHeight="1" x14ac:dyDescent="0.2">
      <c r="A254" s="29" t="str">
        <f t="shared" si="10"/>
        <v>TLM</v>
      </c>
      <c r="B254" s="8">
        <v>250</v>
      </c>
      <c r="C254" t="str">
        <f>PROPER(VLOOKUP($B254, Sheet4!$B:$I,C$3,0))</f>
        <v>Alien Worlds (Tlm)</v>
      </c>
      <c r="D254" t="str">
        <f>PROPER(VLOOKUP($B254, Sheet4!$B:$I,D$3,0))</f>
        <v>$0.156840</v>
      </c>
      <c r="E254" t="str">
        <f>PROPER(VLOOKUP($B254, Sheet4!$B:$I,E$3,0))</f>
        <v>-0.006</v>
      </c>
      <c r="F254" t="str">
        <f>PROPER(VLOOKUP($B254, Sheet4!$B:$I,F$3,0))</f>
        <v>0.004</v>
      </c>
      <c r="G254" t="str">
        <f>PROPER(VLOOKUP($B254, Sheet4!$B:$I,G$3,0))</f>
        <v>0.024</v>
      </c>
      <c r="H254" t="str">
        <f>PROPER(VLOOKUP($B254, Sheet4!$B:$I,H$3,0))</f>
        <v>$65,334,969</v>
      </c>
      <c r="I254" t="str">
        <f>PROPER(VLOOKUP($B254, Sheet4!$B:$I,I$3,0))</f>
        <v>$196,234,816</v>
      </c>
      <c r="J254" t="str">
        <f t="shared" si="11"/>
        <v>0.156840</v>
      </c>
      <c r="K254">
        <f t="shared" si="9"/>
        <v>0.4</v>
      </c>
    </row>
    <row r="255" spans="1:11" ht="22" customHeight="1" x14ac:dyDescent="0.2">
      <c r="A255" s="29" t="str">
        <f t="shared" si="10"/>
        <v>SPELL</v>
      </c>
      <c r="B255" s="8">
        <v>251</v>
      </c>
      <c r="C255" t="str">
        <f>PROPER(VLOOKUP($B255, Sheet4!$B:$I,C$3,0))</f>
        <v>Spell Token (Spell)</v>
      </c>
      <c r="D255" t="str">
        <f>PROPER(VLOOKUP($B255, Sheet4!$B:$I,D$3,0))</f>
        <v>$0.003254155489</v>
      </c>
      <c r="E255" t="str">
        <f>PROPER(VLOOKUP($B255, Sheet4!$B:$I,E$3,0))</f>
        <v>0.001</v>
      </c>
      <c r="F255" t="str">
        <f>PROPER(VLOOKUP($B255, Sheet4!$B:$I,F$3,0))</f>
        <v>-0.037</v>
      </c>
      <c r="G255" t="str">
        <f>PROPER(VLOOKUP($B255, Sheet4!$B:$I,G$3,0))</f>
        <v>0.116</v>
      </c>
      <c r="H255" t="str">
        <f>PROPER(VLOOKUP($B255, Sheet4!$B:$I,H$3,0))</f>
        <v>$4,391,176</v>
      </c>
      <c r="I255" t="str">
        <f>PROPER(VLOOKUP($B255, Sheet4!$B:$I,I$3,0))</f>
        <v>$191,792,301</v>
      </c>
      <c r="J255" t="str">
        <f t="shared" si="11"/>
        <v>0.003254155489</v>
      </c>
      <c r="K255">
        <f t="shared" si="9"/>
        <v>-3.6999999999999997</v>
      </c>
    </row>
    <row r="256" spans="1:11" ht="22" customHeight="1" x14ac:dyDescent="0.2">
      <c r="A256" s="29" t="str">
        <f t="shared" si="10"/>
        <v>IDEX</v>
      </c>
      <c r="B256" s="8">
        <v>252</v>
      </c>
      <c r="C256" t="str">
        <f>PROPER(VLOOKUP($B256, Sheet4!$B:$I,C$3,0))</f>
        <v>Idex (Idex)</v>
      </c>
      <c r="D256" t="str">
        <f>PROPER(VLOOKUP($B256, Sheet4!$B:$I,D$3,0))</f>
        <v>$0.320448</v>
      </c>
      <c r="E256" t="str">
        <f>PROPER(VLOOKUP($B256, Sheet4!$B:$I,E$3,0))</f>
        <v>0</v>
      </c>
      <c r="F256" t="str">
        <f>PROPER(VLOOKUP($B256, Sheet4!$B:$I,F$3,0))</f>
        <v>-0.03</v>
      </c>
      <c r="G256" t="str">
        <f>PROPER(VLOOKUP($B256, Sheet4!$B:$I,G$3,0))</f>
        <v>0.002</v>
      </c>
      <c r="H256" t="str">
        <f>PROPER(VLOOKUP($B256, Sheet4!$B:$I,H$3,0))</f>
        <v>$52,317,647</v>
      </c>
      <c r="I256" t="str">
        <f>PROPER(VLOOKUP($B256, Sheet4!$B:$I,I$3,0))</f>
        <v>$189,545,788</v>
      </c>
      <c r="J256" t="str">
        <f t="shared" si="11"/>
        <v>0.320448</v>
      </c>
      <c r="K256">
        <f t="shared" si="9"/>
        <v>-3</v>
      </c>
    </row>
    <row r="257" spans="1:11" ht="22" customHeight="1" x14ac:dyDescent="0.2">
      <c r="A257" s="29" t="str">
        <f t="shared" si="10"/>
        <v>FUN</v>
      </c>
      <c r="B257" s="8">
        <v>253</v>
      </c>
      <c r="C257" t="str">
        <f>PROPER(VLOOKUP($B257, Sheet4!$B:$I,C$3,0))</f>
        <v>Funtoken (Fun)</v>
      </c>
      <c r="D257" t="str">
        <f>PROPER(VLOOKUP($B257, Sheet4!$B:$I,D$3,0))</f>
        <v>$0.017929797280</v>
      </c>
      <c r="E257" t="str">
        <f>PROPER(VLOOKUP($B257, Sheet4!$B:$I,E$3,0))</f>
        <v>-0.004</v>
      </c>
      <c r="F257" t="str">
        <f>PROPER(VLOOKUP($B257, Sheet4!$B:$I,F$3,0))</f>
        <v>-0.003</v>
      </c>
      <c r="G257" t="str">
        <f>PROPER(VLOOKUP($B257, Sheet4!$B:$I,G$3,0))</f>
        <v>0.017</v>
      </c>
      <c r="H257" t="str">
        <f>PROPER(VLOOKUP($B257, Sheet4!$B:$I,H$3,0))</f>
        <v>$15,657,578</v>
      </c>
      <c r="I257" t="str">
        <f>PROPER(VLOOKUP($B257, Sheet4!$B:$I,I$3,0))</f>
        <v>$190,271,936</v>
      </c>
      <c r="J257" t="str">
        <f t="shared" si="11"/>
        <v>0.017929797280</v>
      </c>
      <c r="K257">
        <f t="shared" si="9"/>
        <v>-0.3</v>
      </c>
    </row>
    <row r="258" spans="1:11" ht="22" customHeight="1" x14ac:dyDescent="0.2">
      <c r="A258" s="29" t="str">
        <f t="shared" si="10"/>
        <v>CSPR</v>
      </c>
      <c r="B258" s="8">
        <v>254</v>
      </c>
      <c r="C258" t="str">
        <f>PROPER(VLOOKUP($B258, Sheet4!$B:$I,C$3,0))</f>
        <v>Casper Network (Cspr)</v>
      </c>
      <c r="D258" t="str">
        <f>PROPER(VLOOKUP($B258, Sheet4!$B:$I,D$3,0))</f>
        <v>$0.087585141673</v>
      </c>
      <c r="E258" t="str">
        <f>PROPER(VLOOKUP($B258, Sheet4!$B:$I,E$3,0))</f>
        <v>-0.003</v>
      </c>
      <c r="F258" t="str">
        <f>PROPER(VLOOKUP($B258, Sheet4!$B:$I,F$3,0))</f>
        <v>-0.005</v>
      </c>
      <c r="G258" t="str">
        <f>PROPER(VLOOKUP($B258, Sheet4!$B:$I,G$3,0))</f>
        <v>-0.069</v>
      </c>
      <c r="H258" t="str">
        <f>PROPER(VLOOKUP($B258, Sheet4!$B:$I,H$3,0))</f>
        <v>$25,344,547</v>
      </c>
      <c r="I258" t="str">
        <f>PROPER(VLOOKUP($B258, Sheet4!$B:$I,I$3,0))</f>
        <v>$189,565,381</v>
      </c>
      <c r="J258" t="str">
        <f t="shared" si="11"/>
        <v>0.087585141673</v>
      </c>
      <c r="K258">
        <f t="shared" si="9"/>
        <v>-0.5</v>
      </c>
    </row>
    <row r="259" spans="1:11" ht="22" customHeight="1" x14ac:dyDescent="0.2">
      <c r="A259" s="29" t="str">
        <f t="shared" si="10"/>
        <v>ZCX</v>
      </c>
      <c r="B259" s="8">
        <v>255</v>
      </c>
      <c r="C259" t="str">
        <f>PROPER(VLOOKUP($B259, Sheet4!$B:$I,C$3,0))</f>
        <v>Unizen (Zcx)</v>
      </c>
      <c r="D259" t="str">
        <f>PROPER(VLOOKUP($B259, Sheet4!$B:$I,D$3,0))</f>
        <v>$4.31</v>
      </c>
      <c r="E259" t="str">
        <f>PROPER(VLOOKUP($B259, Sheet4!$B:$I,E$3,0))</f>
        <v>0</v>
      </c>
      <c r="F259" t="str">
        <f>PROPER(VLOOKUP($B259, Sheet4!$B:$I,F$3,0))</f>
        <v>-0.037</v>
      </c>
      <c r="G259" t="str">
        <f>PROPER(VLOOKUP($B259, Sheet4!$B:$I,G$3,0))</f>
        <v>-0.056</v>
      </c>
      <c r="H259" t="str">
        <f>PROPER(VLOOKUP($B259, Sheet4!$B:$I,H$3,0))</f>
        <v>$2,467,199</v>
      </c>
      <c r="I259" t="str">
        <f>PROPER(VLOOKUP($B259, Sheet4!$B:$I,I$3,0))</f>
        <v>$188,829,508</v>
      </c>
      <c r="J259" t="str">
        <f t="shared" si="11"/>
        <v>4.31</v>
      </c>
      <c r="K259">
        <f t="shared" si="9"/>
        <v>-3.6999999999999997</v>
      </c>
    </row>
    <row r="260" spans="1:11" ht="22" customHeight="1" x14ac:dyDescent="0.2">
      <c r="A260" s="29" t="str">
        <f t="shared" si="10"/>
        <v>HIVE</v>
      </c>
      <c r="B260" s="8">
        <v>256</v>
      </c>
      <c r="C260" t="str">
        <f>PROPER(VLOOKUP($B260, Sheet4!$B:$I,C$3,0))</f>
        <v>Hive (Hive)</v>
      </c>
      <c r="D260" t="str">
        <f>PROPER(VLOOKUP($B260, Sheet4!$B:$I,D$3,0))</f>
        <v>$0.532374</v>
      </c>
      <c r="E260" t="str">
        <f>PROPER(VLOOKUP($B260, Sheet4!$B:$I,E$3,0))</f>
        <v>0.011</v>
      </c>
      <c r="F260" t="str">
        <f>PROPER(VLOOKUP($B260, Sheet4!$B:$I,F$3,0))</f>
        <v>0.016</v>
      </c>
      <c r="G260" t="str">
        <f>PROPER(VLOOKUP($B260, Sheet4!$B:$I,G$3,0))</f>
        <v>-0.007</v>
      </c>
      <c r="H260" t="str">
        <f>PROPER(VLOOKUP($B260, Sheet4!$B:$I,H$3,0))</f>
        <v>$7,467,986</v>
      </c>
      <c r="I260" t="str">
        <f>PROPER(VLOOKUP($B260, Sheet4!$B:$I,I$3,0))</f>
        <v>$187,968,451</v>
      </c>
      <c r="J260" t="str">
        <f t="shared" si="11"/>
        <v>0.532374</v>
      </c>
      <c r="K260">
        <f t="shared" si="9"/>
        <v>1.6</v>
      </c>
    </row>
    <row r="261" spans="1:11" ht="22" customHeight="1" x14ac:dyDescent="0.2">
      <c r="A261" s="29" t="str">
        <f t="shared" si="10"/>
        <v>KEEP</v>
      </c>
      <c r="B261" s="8">
        <v>257</v>
      </c>
      <c r="C261" t="str">
        <f>PROPER(VLOOKUP($B261, Sheet4!$B:$I,C$3,0))</f>
        <v>Keep Network (Keep)</v>
      </c>
      <c r="D261" t="str">
        <f>PROPER(VLOOKUP($B261, Sheet4!$B:$I,D$3,0))</f>
        <v>$0.338690</v>
      </c>
      <c r="E261" t="str">
        <f>PROPER(VLOOKUP($B261, Sheet4!$B:$I,E$3,0))</f>
        <v>0</v>
      </c>
      <c r="F261" t="str">
        <f>PROPER(VLOOKUP($B261, Sheet4!$B:$I,F$3,0))</f>
        <v>-0.029</v>
      </c>
      <c r="G261" t="str">
        <f>PROPER(VLOOKUP($B261, Sheet4!$B:$I,G$3,0))</f>
        <v>-0.004</v>
      </c>
      <c r="H261" t="str">
        <f>PROPER(VLOOKUP($B261, Sheet4!$B:$I,H$3,0))</f>
        <v>$10,484,857</v>
      </c>
      <c r="I261" t="str">
        <f>PROPER(VLOOKUP($B261, Sheet4!$B:$I,I$3,0))</f>
        <v>$186,658,505</v>
      </c>
      <c r="J261" t="str">
        <f t="shared" si="11"/>
        <v>0.338690</v>
      </c>
      <c r="K261">
        <f t="shared" ref="K261:K297" si="12">F261*100</f>
        <v>-2.9000000000000004</v>
      </c>
    </row>
    <row r="262" spans="1:11" ht="22" customHeight="1" x14ac:dyDescent="0.2">
      <c r="A262" s="29" t="str">
        <f t="shared" ref="A262:A304" si="13">UPPER(MID(LEFT(C262,FIND(")",C262)-1),FIND("(",C262)+1,LEN(C262)))</f>
        <v>KLV</v>
      </c>
      <c r="B262" s="8">
        <v>258</v>
      </c>
      <c r="C262" t="str">
        <f>PROPER(VLOOKUP($B262, Sheet4!$B:$I,C$3,0))</f>
        <v>Klever (Klv)</v>
      </c>
      <c r="D262" t="str">
        <f>PROPER(VLOOKUP($B262, Sheet4!$B:$I,D$3,0))</f>
        <v>$0.033697999957</v>
      </c>
      <c r="E262" t="str">
        <f>PROPER(VLOOKUP($B262, Sheet4!$B:$I,E$3,0))</f>
        <v>-0.001</v>
      </c>
      <c r="F262" t="str">
        <f>PROPER(VLOOKUP($B262, Sheet4!$B:$I,F$3,0))</f>
        <v>-0.007</v>
      </c>
      <c r="G262" t="str">
        <f>PROPER(VLOOKUP($B262, Sheet4!$B:$I,G$3,0))</f>
        <v>-0.021</v>
      </c>
      <c r="H262" t="str">
        <f>PROPER(VLOOKUP($B262, Sheet4!$B:$I,H$3,0))</f>
        <v>$1,625,289</v>
      </c>
      <c r="I262" t="str">
        <f>PROPER(VLOOKUP($B262, Sheet4!$B:$I,I$3,0))</f>
        <v>$184,525,836</v>
      </c>
      <c r="J262" t="str">
        <f t="shared" ref="J262:J304" si="14">SUBSTITUTE(D262, "$", "")</f>
        <v>0.033697999957</v>
      </c>
      <c r="K262">
        <f t="shared" si="12"/>
        <v>-0.70000000000000007</v>
      </c>
    </row>
    <row r="263" spans="1:11" ht="22" customHeight="1" x14ac:dyDescent="0.2">
      <c r="A263" s="29" t="str">
        <f t="shared" si="13"/>
        <v>DODO</v>
      </c>
      <c r="B263" s="8">
        <v>259</v>
      </c>
      <c r="C263" t="str">
        <f>PROPER(VLOOKUP($B263, Sheet4!$B:$I,C$3,0))</f>
        <v>Dodo (Dodo)</v>
      </c>
      <c r="D263" t="str">
        <f>PROPER(VLOOKUP($B263, Sheet4!$B:$I,D$3,0))</f>
        <v>$1.13</v>
      </c>
      <c r="E263" t="str">
        <f>PROPER(VLOOKUP($B263, Sheet4!$B:$I,E$3,0))</f>
        <v>-0.003</v>
      </c>
      <c r="F263" t="str">
        <f>PROPER(VLOOKUP($B263, Sheet4!$B:$I,F$3,0))</f>
        <v>-0.017</v>
      </c>
      <c r="G263" t="str">
        <f>PROPER(VLOOKUP($B263, Sheet4!$B:$I,G$3,0))</f>
        <v>0.001</v>
      </c>
      <c r="H263" t="str">
        <f>PROPER(VLOOKUP($B263, Sheet4!$B:$I,H$3,0))</f>
        <v>$32,940,520</v>
      </c>
      <c r="I263" t="str">
        <f>PROPER(VLOOKUP($B263, Sheet4!$B:$I,I$3,0))</f>
        <v>$183,617,428</v>
      </c>
      <c r="J263" t="str">
        <f t="shared" si="14"/>
        <v>1.13</v>
      </c>
      <c r="K263">
        <f t="shared" si="12"/>
        <v>-1.7000000000000002</v>
      </c>
    </row>
    <row r="264" spans="1:11" ht="22" customHeight="1" x14ac:dyDescent="0.2">
      <c r="A264" s="29" t="str">
        <f t="shared" si="13"/>
        <v>FLEX</v>
      </c>
      <c r="B264" s="8">
        <v>260</v>
      </c>
      <c r="C264" t="str">
        <f>PROPER(VLOOKUP($B264, Sheet4!$B:$I,C$3,0))</f>
        <v>Flex Coin (Flex)</v>
      </c>
      <c r="D264" t="str">
        <f>PROPER(VLOOKUP($B264, Sheet4!$B:$I,D$3,0))</f>
        <v>$2.31</v>
      </c>
      <c r="E264" t="str">
        <f>PROPER(VLOOKUP($B264, Sheet4!$B:$I,E$3,0))</f>
        <v>-0.007</v>
      </c>
      <c r="F264" t="str">
        <f>PROPER(VLOOKUP($B264, Sheet4!$B:$I,F$3,0))</f>
        <v>-0.074</v>
      </c>
      <c r="G264" t="str">
        <f>PROPER(VLOOKUP($B264, Sheet4!$B:$I,G$3,0))</f>
        <v>-0.153</v>
      </c>
      <c r="H264" t="str">
        <f>PROPER(VLOOKUP($B264, Sheet4!$B:$I,H$3,0))</f>
        <v>$164,831,611</v>
      </c>
      <c r="I264" t="str">
        <f>PROPER(VLOOKUP($B264, Sheet4!$B:$I,I$3,0))</f>
        <v>$181,877,434</v>
      </c>
      <c r="J264" t="str">
        <f t="shared" si="14"/>
        <v>2.31</v>
      </c>
      <c r="K264">
        <f t="shared" si="12"/>
        <v>-7.3999999999999995</v>
      </c>
    </row>
    <row r="265" spans="1:11" ht="22" customHeight="1" x14ac:dyDescent="0.2">
      <c r="A265" s="29" t="str">
        <f t="shared" si="13"/>
        <v>EPS</v>
      </c>
      <c r="B265" s="8">
        <v>261</v>
      </c>
      <c r="C265" t="str">
        <f>PROPER(VLOOKUP($B265, Sheet4!$B:$I,C$3,0))</f>
        <v>Ellipsis (Eps)</v>
      </c>
      <c r="D265" t="str">
        <f>PROPER(VLOOKUP($B265, Sheet4!$B:$I,D$3,0))</f>
        <v>$0.460090</v>
      </c>
      <c r="E265" t="str">
        <f>PROPER(VLOOKUP($B265, Sheet4!$B:$I,E$3,0))</f>
        <v>-0.002</v>
      </c>
      <c r="F265" t="str">
        <f>PROPER(VLOOKUP($B265, Sheet4!$B:$I,F$3,0))</f>
        <v>-0.012</v>
      </c>
      <c r="G265" t="str">
        <f>PROPER(VLOOKUP($B265, Sheet4!$B:$I,G$3,0))</f>
        <v>-0.034</v>
      </c>
      <c r="H265" t="str">
        <f>PROPER(VLOOKUP($B265, Sheet4!$B:$I,H$3,0))</f>
        <v>$16,514,342</v>
      </c>
      <c r="I265" t="str">
        <f>PROPER(VLOOKUP($B265, Sheet4!$B:$I,I$3,0))</f>
        <v>$180,630,946</v>
      </c>
      <c r="J265" t="str">
        <f t="shared" si="14"/>
        <v>0.460090</v>
      </c>
      <c r="K265">
        <f t="shared" si="12"/>
        <v>-1.2</v>
      </c>
    </row>
    <row r="266" spans="1:11" ht="22" customHeight="1" x14ac:dyDescent="0.2">
      <c r="A266" s="29" t="str">
        <f t="shared" si="13"/>
        <v>ALICE</v>
      </c>
      <c r="B266" s="8">
        <v>262</v>
      </c>
      <c r="C266" t="str">
        <f>PROPER(VLOOKUP($B266, Sheet4!$B:$I,C$3,0))</f>
        <v>My Neighbor Alice (Alice)</v>
      </c>
      <c r="D266" t="str">
        <f>PROPER(VLOOKUP($B266, Sheet4!$B:$I,D$3,0))</f>
        <v>$10.29</v>
      </c>
      <c r="E266" t="str">
        <f>PROPER(VLOOKUP($B266, Sheet4!$B:$I,E$3,0))</f>
        <v>-0.005</v>
      </c>
      <c r="F266" t="str">
        <f>PROPER(VLOOKUP($B266, Sheet4!$B:$I,F$3,0))</f>
        <v>-0.019</v>
      </c>
      <c r="G266" t="str">
        <f>PROPER(VLOOKUP($B266, Sheet4!$B:$I,G$3,0))</f>
        <v>0.107</v>
      </c>
      <c r="H266" t="str">
        <f>PROPER(VLOOKUP($B266, Sheet4!$B:$I,H$3,0))</f>
        <v>$133,735,110</v>
      </c>
      <c r="I266" t="str">
        <f>PROPER(VLOOKUP($B266, Sheet4!$B:$I,I$3,0))</f>
        <v>$179,809,114</v>
      </c>
      <c r="J266" t="str">
        <f t="shared" si="14"/>
        <v>10.29</v>
      </c>
      <c r="K266">
        <f t="shared" si="12"/>
        <v>-1.9</v>
      </c>
    </row>
    <row r="267" spans="1:11" ht="22" customHeight="1" x14ac:dyDescent="0.2">
      <c r="A267" s="29" t="str">
        <f t="shared" si="13"/>
        <v>DAWN</v>
      </c>
      <c r="B267" s="8">
        <v>263</v>
      </c>
      <c r="C267" t="str">
        <f>PROPER(VLOOKUP($B267, Sheet4!$B:$I,C$3,0))</f>
        <v>Dawn Protocol (Dawn)</v>
      </c>
      <c r="D267" t="str">
        <f>PROPER(VLOOKUP($B267, Sheet4!$B:$I,D$3,0))</f>
        <v>$2.46</v>
      </c>
      <c r="E267" t="str">
        <f>PROPER(VLOOKUP($B267, Sheet4!$B:$I,E$3,0))</f>
        <v>-0.01</v>
      </c>
      <c r="F267" t="str">
        <f>PROPER(VLOOKUP($B267, Sheet4!$B:$I,F$3,0))</f>
        <v>-0.015</v>
      </c>
      <c r="G267" t="str">
        <f>PROPER(VLOOKUP($B267, Sheet4!$B:$I,G$3,0))</f>
        <v>-0.067</v>
      </c>
      <c r="H267" t="str">
        <f>PROPER(VLOOKUP($B267, Sheet4!$B:$I,H$3,0))</f>
        <v>$8,331,957</v>
      </c>
      <c r="I267" t="str">
        <f>PROPER(VLOOKUP($B267, Sheet4!$B:$I,I$3,0))</f>
        <v>$178,869,811</v>
      </c>
      <c r="J267" t="str">
        <f t="shared" si="14"/>
        <v>2.46</v>
      </c>
      <c r="K267">
        <f t="shared" si="12"/>
        <v>-1.5</v>
      </c>
    </row>
    <row r="268" spans="1:11" ht="22" customHeight="1" x14ac:dyDescent="0.2">
      <c r="A268" s="29" t="str">
        <f t="shared" si="13"/>
        <v>DPI</v>
      </c>
      <c r="B268" s="8">
        <v>264</v>
      </c>
      <c r="C268" t="str">
        <f>PROPER(VLOOKUP($B268, Sheet4!$B:$I,C$3,0))</f>
        <v>Defipulse Index (Dpi)</v>
      </c>
      <c r="D268" t="str">
        <f>PROPER(VLOOKUP($B268, Sheet4!$B:$I,D$3,0))</f>
        <v>$299.67</v>
      </c>
      <c r="E268" t="str">
        <f>PROPER(VLOOKUP($B268, Sheet4!$B:$I,E$3,0))</f>
        <v>-0.001</v>
      </c>
      <c r="F268" t="str">
        <f>PROPER(VLOOKUP($B268, Sheet4!$B:$I,F$3,0))</f>
        <v>-0.035</v>
      </c>
      <c r="G268" t="str">
        <f>PROPER(VLOOKUP($B268, Sheet4!$B:$I,G$3,0))</f>
        <v>0.052</v>
      </c>
      <c r="H268" t="str">
        <f>PROPER(VLOOKUP($B268, Sheet4!$B:$I,H$3,0))</f>
        <v>$2,469,296</v>
      </c>
      <c r="I268" t="str">
        <f>PROPER(VLOOKUP($B268, Sheet4!$B:$I,I$3,0))</f>
        <v>$178,767,373</v>
      </c>
      <c r="J268" t="str">
        <f t="shared" si="14"/>
        <v>299.67</v>
      </c>
      <c r="K268">
        <f t="shared" si="12"/>
        <v>-3.5000000000000004</v>
      </c>
    </row>
    <row r="269" spans="1:11" ht="22" customHeight="1" x14ac:dyDescent="0.2">
      <c r="A269" s="29" t="str">
        <f t="shared" si="13"/>
        <v>NKN</v>
      </c>
      <c r="B269" s="8">
        <v>265</v>
      </c>
      <c r="C269" t="str">
        <f>PROPER(VLOOKUP($B269, Sheet4!$B:$I,C$3,0))</f>
        <v>Nkn (Nkn)</v>
      </c>
      <c r="D269" t="str">
        <f>PROPER(VLOOKUP($B269, Sheet4!$B:$I,D$3,0))</f>
        <v>$0.274672</v>
      </c>
      <c r="E269" t="str">
        <f>PROPER(VLOOKUP($B269, Sheet4!$B:$I,E$3,0))</f>
        <v>0.006</v>
      </c>
      <c r="F269" t="str">
        <f>PROPER(VLOOKUP($B269, Sheet4!$B:$I,F$3,0))</f>
        <v>-0.005</v>
      </c>
      <c r="G269" t="str">
        <f>PROPER(VLOOKUP($B269, Sheet4!$B:$I,G$3,0))</f>
        <v>-0.043</v>
      </c>
      <c r="H269" t="str">
        <f>PROPER(VLOOKUP($B269, Sheet4!$B:$I,H$3,0))</f>
        <v>$5,810,637</v>
      </c>
      <c r="I269" t="str">
        <f>PROPER(VLOOKUP($B269, Sheet4!$B:$I,I$3,0))</f>
        <v>$178,536,508</v>
      </c>
      <c r="J269" t="str">
        <f t="shared" si="14"/>
        <v>0.274672</v>
      </c>
      <c r="K269">
        <f t="shared" si="12"/>
        <v>-0.5</v>
      </c>
    </row>
    <row r="270" spans="1:11" ht="22" customHeight="1" x14ac:dyDescent="0.2">
      <c r="A270" s="29" t="str">
        <f t="shared" si="13"/>
        <v>MTL</v>
      </c>
      <c r="B270" s="8">
        <v>266</v>
      </c>
      <c r="C270" t="str">
        <f>PROPER(VLOOKUP($B270, Sheet4!$B:$I,C$3,0))</f>
        <v>Metal (Mtl)</v>
      </c>
      <c r="D270" t="str">
        <f>PROPER(VLOOKUP($B270, Sheet4!$B:$I,D$3,0))</f>
        <v>$2.73</v>
      </c>
      <c r="E270" t="str">
        <f>PROPER(VLOOKUP($B270, Sheet4!$B:$I,E$3,0))</f>
        <v>-0.019</v>
      </c>
      <c r="F270" t="str">
        <f>PROPER(VLOOKUP($B270, Sheet4!$B:$I,F$3,0))</f>
        <v>-0.02</v>
      </c>
      <c r="G270" t="str">
        <f>PROPER(VLOOKUP($B270, Sheet4!$B:$I,G$3,0))</f>
        <v>-0.03</v>
      </c>
      <c r="H270" t="str">
        <f>PROPER(VLOOKUP($B270, Sheet4!$B:$I,H$3,0))</f>
        <v>$12,617,576</v>
      </c>
      <c r="I270" t="str">
        <f>PROPER(VLOOKUP($B270, Sheet4!$B:$I,I$3,0))</f>
        <v>$177,286,470</v>
      </c>
      <c r="J270" t="str">
        <f t="shared" si="14"/>
        <v>2.73</v>
      </c>
      <c r="K270">
        <f t="shared" si="12"/>
        <v>-2</v>
      </c>
    </row>
    <row r="271" spans="1:11" ht="22" customHeight="1" x14ac:dyDescent="0.2">
      <c r="A271" s="29" t="str">
        <f t="shared" si="13"/>
        <v>TRU</v>
      </c>
      <c r="B271" s="8">
        <v>267</v>
      </c>
      <c r="C271" t="str">
        <f>PROPER(VLOOKUP($B271, Sheet4!$B:$I,C$3,0))</f>
        <v>Truefi (Tru)</v>
      </c>
      <c r="D271" t="str">
        <f>PROPER(VLOOKUP($B271, Sheet4!$B:$I,D$3,0))</f>
        <v>$0.405346</v>
      </c>
      <c r="E271" t="str">
        <f>PROPER(VLOOKUP($B271, Sheet4!$B:$I,E$3,0))</f>
        <v>0</v>
      </c>
      <c r="F271" t="str">
        <f>PROPER(VLOOKUP($B271, Sheet4!$B:$I,F$3,0))</f>
        <v>-0.028</v>
      </c>
      <c r="G271" t="str">
        <f>PROPER(VLOOKUP($B271, Sheet4!$B:$I,G$3,0))</f>
        <v>-0.073</v>
      </c>
      <c r="H271" t="str">
        <f>PROPER(VLOOKUP($B271, Sheet4!$B:$I,H$3,0))</f>
        <v>$8,588,259</v>
      </c>
      <c r="I271" t="str">
        <f>PROPER(VLOOKUP($B271, Sheet4!$B:$I,I$3,0))</f>
        <v>$177,269,666</v>
      </c>
      <c r="J271" t="str">
        <f t="shared" si="14"/>
        <v>0.405346</v>
      </c>
      <c r="K271">
        <f t="shared" si="12"/>
        <v>-2.8000000000000003</v>
      </c>
    </row>
    <row r="272" spans="1:11" ht="22" customHeight="1" x14ac:dyDescent="0.2">
      <c r="A272" s="29" t="str">
        <f t="shared" si="13"/>
        <v>DVPN</v>
      </c>
      <c r="B272" s="8">
        <v>268</v>
      </c>
      <c r="C272" t="str">
        <f>PROPER(VLOOKUP($B272, Sheet4!$B:$I,C$3,0))</f>
        <v>Sentinel (Dvpn)</v>
      </c>
      <c r="D272" t="str">
        <f>PROPER(VLOOKUP($B272, Sheet4!$B:$I,D$3,0))</f>
        <v>$0.035132658508</v>
      </c>
      <c r="E272" t="str">
        <f>PROPER(VLOOKUP($B272, Sheet4!$B:$I,E$3,0))</f>
        <v>-0.011</v>
      </c>
      <c r="F272" t="str">
        <f>PROPER(VLOOKUP($B272, Sheet4!$B:$I,F$3,0))</f>
        <v>-0.054</v>
      </c>
      <c r="G272" t="str">
        <f>PROPER(VLOOKUP($B272, Sheet4!$B:$I,G$3,0))</f>
        <v>0.041</v>
      </c>
      <c r="H272" t="str">
        <f>PROPER(VLOOKUP($B272, Sheet4!$B:$I,H$3,0))</f>
        <v>$3,112,337</v>
      </c>
      <c r="I272" t="str">
        <f>PROPER(VLOOKUP($B272, Sheet4!$B:$I,I$3,0))</f>
        <v>$174,342,170</v>
      </c>
      <c r="J272" t="str">
        <f t="shared" si="14"/>
        <v>0.035132658508</v>
      </c>
      <c r="K272">
        <f t="shared" si="12"/>
        <v>-5.4</v>
      </c>
    </row>
    <row r="273" spans="1:11" ht="22" customHeight="1" x14ac:dyDescent="0.2">
      <c r="A273" s="29" t="str">
        <f t="shared" si="13"/>
        <v>SYS</v>
      </c>
      <c r="B273" s="8">
        <v>269</v>
      </c>
      <c r="C273" t="str">
        <f>PROPER(VLOOKUP($B273, Sheet4!$B:$I,C$3,0))</f>
        <v>Syscoin (Sys)</v>
      </c>
      <c r="D273" t="str">
        <f>PROPER(VLOOKUP($B273, Sheet4!$B:$I,D$3,0))</f>
        <v>$0.265155</v>
      </c>
      <c r="E273" t="str">
        <f>PROPER(VLOOKUP($B273, Sheet4!$B:$I,E$3,0))</f>
        <v>-0.062</v>
      </c>
      <c r="F273" t="str">
        <f>PROPER(VLOOKUP($B273, Sheet4!$B:$I,F$3,0))</f>
        <v>-0.089</v>
      </c>
      <c r="G273" t="str">
        <f>PROPER(VLOOKUP($B273, Sheet4!$B:$I,G$3,0))</f>
        <v>0.032</v>
      </c>
      <c r="H273" t="str">
        <f>PROPER(VLOOKUP($B273, Sheet4!$B:$I,H$3,0))</f>
        <v>$3,469,900</v>
      </c>
      <c r="I273" t="str">
        <f>PROPER(VLOOKUP($B273, Sheet4!$B:$I,I$3,0))</f>
        <v>$164,361,127</v>
      </c>
      <c r="J273" t="str">
        <f t="shared" si="14"/>
        <v>0.265155</v>
      </c>
      <c r="K273">
        <f t="shared" si="12"/>
        <v>-8.9</v>
      </c>
    </row>
    <row r="274" spans="1:11" ht="22" customHeight="1" x14ac:dyDescent="0.2">
      <c r="A274" s="29" t="str">
        <f t="shared" si="13"/>
        <v>MATH</v>
      </c>
      <c r="B274" s="8">
        <v>270</v>
      </c>
      <c r="C274" t="str">
        <f>PROPER(VLOOKUP($B274, Sheet4!$B:$I,C$3,0))</f>
        <v>Math (Math)</v>
      </c>
      <c r="D274" t="str">
        <f>PROPER(VLOOKUP($B274, Sheet4!$B:$I,D$3,0))</f>
        <v>$1.24</v>
      </c>
      <c r="E274" t="str">
        <f>PROPER(VLOOKUP($B274, Sheet4!$B:$I,E$3,0))</f>
        <v>-0.003</v>
      </c>
      <c r="F274" t="str">
        <f>PROPER(VLOOKUP($B274, Sheet4!$B:$I,F$3,0))</f>
        <v>-0.012</v>
      </c>
      <c r="G274" t="str">
        <f>PROPER(VLOOKUP($B274, Sheet4!$B:$I,G$3,0))</f>
        <v>-0.109</v>
      </c>
      <c r="H274" t="str">
        <f>PROPER(VLOOKUP($B274, Sheet4!$B:$I,H$3,0))</f>
        <v>$5,077,484</v>
      </c>
      <c r="I274" t="str">
        <f>PROPER(VLOOKUP($B274, Sheet4!$B:$I,I$3,0))</f>
        <v>$175,291,808</v>
      </c>
      <c r="J274" t="str">
        <f t="shared" si="14"/>
        <v>1.24</v>
      </c>
      <c r="K274">
        <f t="shared" si="12"/>
        <v>-1.2</v>
      </c>
    </row>
    <row r="275" spans="1:11" ht="22" customHeight="1" x14ac:dyDescent="0.2">
      <c r="A275" s="29" t="str">
        <f t="shared" si="13"/>
        <v>OXT</v>
      </c>
      <c r="B275" s="8">
        <v>271</v>
      </c>
      <c r="C275" t="str">
        <f>PROPER(VLOOKUP($B275, Sheet4!$B:$I,C$3,0))</f>
        <v>Orchid Protocol (Oxt)</v>
      </c>
      <c r="D275" t="str">
        <f>PROPER(VLOOKUP($B275, Sheet4!$B:$I,D$3,0))</f>
        <v>$0.290718</v>
      </c>
      <c r="E275" t="str">
        <f>PROPER(VLOOKUP($B275, Sheet4!$B:$I,E$3,0))</f>
        <v>-0.005</v>
      </c>
      <c r="F275" t="str">
        <f>PROPER(VLOOKUP($B275, Sheet4!$B:$I,F$3,0))</f>
        <v>-0.012</v>
      </c>
      <c r="G275" t="str">
        <f>PROPER(VLOOKUP($B275, Sheet4!$B:$I,G$3,0))</f>
        <v>-0.075</v>
      </c>
      <c r="H275" t="str">
        <f>PROPER(VLOOKUP($B275, Sheet4!$B:$I,H$3,0))</f>
        <v>$20,123,647</v>
      </c>
      <c r="I275" t="str">
        <f>PROPER(VLOOKUP($B275, Sheet4!$B:$I,I$3,0))</f>
        <v>$173,285,028</v>
      </c>
      <c r="J275" t="str">
        <f t="shared" si="14"/>
        <v>0.290718</v>
      </c>
      <c r="K275">
        <f t="shared" si="12"/>
        <v>-1.2</v>
      </c>
    </row>
    <row r="276" spans="1:11" ht="22" customHeight="1" x14ac:dyDescent="0.2">
      <c r="A276" s="29" t="str">
        <f t="shared" si="13"/>
        <v>RAD</v>
      </c>
      <c r="B276" s="8">
        <v>272</v>
      </c>
      <c r="C276" t="str">
        <f>PROPER(VLOOKUP($B276, Sheet4!$B:$I,C$3,0))</f>
        <v>Radicle (Rad)</v>
      </c>
      <c r="D276" t="str">
        <f>PROPER(VLOOKUP($B276, Sheet4!$B:$I,D$3,0))</f>
        <v>$8.24</v>
      </c>
      <c r="E276" t="str">
        <f>PROPER(VLOOKUP($B276, Sheet4!$B:$I,E$3,0))</f>
        <v>-0.016</v>
      </c>
      <c r="F276" t="str">
        <f>PROPER(VLOOKUP($B276, Sheet4!$B:$I,F$3,0))</f>
        <v>-0.06</v>
      </c>
      <c r="G276" t="str">
        <f>PROPER(VLOOKUP($B276, Sheet4!$B:$I,G$3,0))</f>
        <v>-0.02</v>
      </c>
      <c r="H276" t="str">
        <f>PROPER(VLOOKUP($B276, Sheet4!$B:$I,H$3,0))</f>
        <v>$2,287,765</v>
      </c>
      <c r="I276" t="str">
        <f>PROPER(VLOOKUP($B276, Sheet4!$B:$I,I$3,0))</f>
        <v>$173,004,367</v>
      </c>
      <c r="J276" t="str">
        <f t="shared" si="14"/>
        <v>8.24</v>
      </c>
      <c r="K276">
        <f t="shared" si="12"/>
        <v>-6</v>
      </c>
    </row>
    <row r="277" spans="1:11" ht="22" customHeight="1" x14ac:dyDescent="0.2">
      <c r="A277" s="29" t="str">
        <f t="shared" si="13"/>
        <v>STRAX</v>
      </c>
      <c r="B277" s="8">
        <v>273</v>
      </c>
      <c r="C277" t="str">
        <f>PROPER(VLOOKUP($B277, Sheet4!$B:$I,C$3,0))</f>
        <v>Stratis (Strax)</v>
      </c>
      <c r="D277" t="str">
        <f>PROPER(VLOOKUP($B277, Sheet4!$B:$I,D$3,0))</f>
        <v>$1.71</v>
      </c>
      <c r="E277" t="str">
        <f>PROPER(VLOOKUP($B277, Sheet4!$B:$I,E$3,0))</f>
        <v>-0.008</v>
      </c>
      <c r="F277" t="str">
        <f>PROPER(VLOOKUP($B277, Sheet4!$B:$I,F$3,0))</f>
        <v>-0.003</v>
      </c>
      <c r="G277" t="str">
        <f>PROPER(VLOOKUP($B277, Sheet4!$B:$I,G$3,0))</f>
        <v>-0.141</v>
      </c>
      <c r="H277" t="str">
        <f>PROPER(VLOOKUP($B277, Sheet4!$B:$I,H$3,0))</f>
        <v>$7,810,229</v>
      </c>
      <c r="I277" t="str">
        <f>PROPER(VLOOKUP($B277, Sheet4!$B:$I,I$3,0))</f>
        <v>$172,821,879</v>
      </c>
      <c r="J277" t="str">
        <f t="shared" si="14"/>
        <v>1.71</v>
      </c>
      <c r="K277">
        <f t="shared" si="12"/>
        <v>-0.3</v>
      </c>
    </row>
    <row r="278" spans="1:11" ht="22" customHeight="1" x14ac:dyDescent="0.2">
      <c r="A278" s="29" t="str">
        <f t="shared" si="13"/>
        <v>TOMO</v>
      </c>
      <c r="B278" s="8">
        <v>274</v>
      </c>
      <c r="C278" t="str">
        <f>PROPER(VLOOKUP($B278, Sheet4!$B:$I,C$3,0))</f>
        <v>Tomochain (Tomo)</v>
      </c>
      <c r="D278" t="str">
        <f>PROPER(VLOOKUP($B278, Sheet4!$B:$I,D$3,0))</f>
        <v>$2.01</v>
      </c>
      <c r="E278" t="str">
        <f>PROPER(VLOOKUP($B278, Sheet4!$B:$I,E$3,0))</f>
        <v>0.007</v>
      </c>
      <c r="F278" t="str">
        <f>PROPER(VLOOKUP($B278, Sheet4!$B:$I,F$3,0))</f>
        <v>-0.027</v>
      </c>
      <c r="G278" t="str">
        <f>PROPER(VLOOKUP($B278, Sheet4!$B:$I,G$3,0))</f>
        <v>-0.007</v>
      </c>
      <c r="H278" t="str">
        <f>PROPER(VLOOKUP($B278, Sheet4!$B:$I,H$3,0))</f>
        <v>$8,914,909</v>
      </c>
      <c r="I278" t="str">
        <f>PROPER(VLOOKUP($B278, Sheet4!$B:$I,I$3,0))</f>
        <v>$173,743,139</v>
      </c>
      <c r="J278" t="str">
        <f t="shared" si="14"/>
        <v>2.01</v>
      </c>
      <c r="K278">
        <f t="shared" si="12"/>
        <v>-2.7</v>
      </c>
    </row>
    <row r="279" spans="1:11" ht="22" customHeight="1" x14ac:dyDescent="0.2">
      <c r="A279" s="29" t="str">
        <f t="shared" si="13"/>
        <v>DDX</v>
      </c>
      <c r="B279" s="8">
        <v>275</v>
      </c>
      <c r="C279" t="str">
        <f>PROPER(VLOOKUP($B279, Sheet4!$B:$I,C$3,0))</f>
        <v>Derivadao (Ddx)</v>
      </c>
      <c r="D279" t="str">
        <f>PROPER(VLOOKUP($B279, Sheet4!$B:$I,D$3,0))</f>
        <v>$6.36</v>
      </c>
      <c r="E279" t="str">
        <f>PROPER(VLOOKUP($B279, Sheet4!$B:$I,E$3,0))</f>
        <v>-0.033</v>
      </c>
      <c r="F279" t="str">
        <f>PROPER(VLOOKUP($B279, Sheet4!$B:$I,F$3,0))</f>
        <v>-0.085</v>
      </c>
      <c r="G279" t="str">
        <f>PROPER(VLOOKUP($B279, Sheet4!$B:$I,G$3,0))</f>
        <v>0.363</v>
      </c>
      <c r="H279" t="str">
        <f>PROPER(VLOOKUP($B279, Sheet4!$B:$I,H$3,0))</f>
        <v>$11,478,184</v>
      </c>
      <c r="I279" t="str">
        <f>PROPER(VLOOKUP($B279, Sheet4!$B:$I,I$3,0))</f>
        <v>$165,970,790</v>
      </c>
      <c r="J279" t="str">
        <f t="shared" si="14"/>
        <v>6.36</v>
      </c>
      <c r="K279">
        <f t="shared" si="12"/>
        <v>-8.5</v>
      </c>
    </row>
    <row r="280" spans="1:11" ht="22" customHeight="1" x14ac:dyDescent="0.2">
      <c r="A280" s="29" t="str">
        <f t="shared" si="13"/>
        <v>VRA</v>
      </c>
      <c r="B280" s="8">
        <v>276</v>
      </c>
      <c r="C280" t="str">
        <f>PROPER(VLOOKUP($B280, Sheet4!$B:$I,C$3,0))</f>
        <v>Verasity (Vra)</v>
      </c>
      <c r="D280" t="str">
        <f>PROPER(VLOOKUP($B280, Sheet4!$B:$I,D$3,0))</f>
        <v>$0.026466113778</v>
      </c>
      <c r="E280" t="str">
        <f>PROPER(VLOOKUP($B280, Sheet4!$B:$I,E$3,0))</f>
        <v>0.013</v>
      </c>
      <c r="F280" t="str">
        <f>PROPER(VLOOKUP($B280, Sheet4!$B:$I,F$3,0))</f>
        <v>-0.024</v>
      </c>
      <c r="G280" t="str">
        <f>PROPER(VLOOKUP($B280, Sheet4!$B:$I,G$3,0))</f>
        <v>-0.043</v>
      </c>
      <c r="H280" t="str">
        <f>PROPER(VLOOKUP($B280, Sheet4!$B:$I,H$3,0))</f>
        <v>$31,450,066</v>
      </c>
      <c r="I280" t="str">
        <f>PROPER(VLOOKUP($B280, Sheet4!$B:$I,I$3,0))</f>
        <v>$173,163,739</v>
      </c>
      <c r="J280" t="str">
        <f t="shared" si="14"/>
        <v>0.026466113778</v>
      </c>
      <c r="K280">
        <f t="shared" si="12"/>
        <v>-2.4</v>
      </c>
    </row>
    <row r="281" spans="1:11" ht="22" customHeight="1" x14ac:dyDescent="0.2">
      <c r="A281" s="29" t="str">
        <f t="shared" si="13"/>
        <v>STEEM</v>
      </c>
      <c r="B281" s="8">
        <v>277</v>
      </c>
      <c r="C281" t="str">
        <f>PROPER(VLOOKUP($B281, Sheet4!$B:$I,C$3,0))</f>
        <v>Steem (Steem)</v>
      </c>
      <c r="D281" t="str">
        <f>PROPER(VLOOKUP($B281, Sheet4!$B:$I,D$3,0))</f>
        <v>$0.429887</v>
      </c>
      <c r="E281" t="str">
        <f>PROPER(VLOOKUP($B281, Sheet4!$B:$I,E$3,0))</f>
        <v>-0.017</v>
      </c>
      <c r="F281" t="str">
        <f>PROPER(VLOOKUP($B281, Sheet4!$B:$I,F$3,0))</f>
        <v>-0.013</v>
      </c>
      <c r="G281" t="str">
        <f>PROPER(VLOOKUP($B281, Sheet4!$B:$I,G$3,0))</f>
        <v>-0.07</v>
      </c>
      <c r="H281" t="str">
        <f>PROPER(VLOOKUP($B281, Sheet4!$B:$I,H$3,0))</f>
        <v>$1,344,337</v>
      </c>
      <c r="I281" t="str">
        <f>PROPER(VLOOKUP($B281, Sheet4!$B:$I,I$3,0))</f>
        <v>$171,226,019</v>
      </c>
      <c r="J281" t="str">
        <f t="shared" si="14"/>
        <v>0.429887</v>
      </c>
      <c r="K281">
        <f t="shared" si="12"/>
        <v>-1.3</v>
      </c>
    </row>
    <row r="282" spans="1:11" ht="22" customHeight="1" x14ac:dyDescent="0.2">
      <c r="A282" s="29" t="str">
        <f t="shared" si="13"/>
        <v>BDX</v>
      </c>
      <c r="B282" s="8">
        <v>278</v>
      </c>
      <c r="C282" t="str">
        <f>PROPER(VLOOKUP($B282, Sheet4!$B:$I,C$3,0))</f>
        <v>Beldex (Bdx)</v>
      </c>
      <c r="D282" t="str">
        <f>PROPER(VLOOKUP($B282, Sheet4!$B:$I,D$3,0))</f>
        <v>$0.110824</v>
      </c>
      <c r="E282" t="str">
        <f>PROPER(VLOOKUP($B282, Sheet4!$B:$I,E$3,0))</f>
        <v>0</v>
      </c>
      <c r="F282" t="str">
        <f>PROPER(VLOOKUP($B282, Sheet4!$B:$I,F$3,0))</f>
        <v>-0.01</v>
      </c>
      <c r="G282" t="str">
        <f>PROPER(VLOOKUP($B282, Sheet4!$B:$I,G$3,0))</f>
        <v>-0.001</v>
      </c>
      <c r="H282" t="str">
        <f>PROPER(VLOOKUP($B282, Sheet4!$B:$I,H$3,0))</f>
        <v>$574,407</v>
      </c>
      <c r="I282" t="str">
        <f>PROPER(VLOOKUP($B282, Sheet4!$B:$I,I$3,0))</f>
        <v>$166,235,815</v>
      </c>
      <c r="J282" t="str">
        <f t="shared" si="14"/>
        <v>0.110824</v>
      </c>
      <c r="K282">
        <f t="shared" si="12"/>
        <v>-1</v>
      </c>
    </row>
    <row r="283" spans="1:11" ht="22" customHeight="1" x14ac:dyDescent="0.2">
      <c r="A283" s="29" t="str">
        <f t="shared" si="13"/>
        <v>WCFG</v>
      </c>
      <c r="B283" s="8">
        <v>279</v>
      </c>
      <c r="C283" t="str">
        <f>PROPER(VLOOKUP($B283, Sheet4!$B:$I,C$3,0))</f>
        <v>Wrapped Centrifuge (Wcfg)</v>
      </c>
      <c r="D283" t="str">
        <f>PROPER(VLOOKUP($B283, Sheet4!$B:$I,D$3,0))</f>
        <v>$1.68</v>
      </c>
      <c r="E283" t="str">
        <f>PROPER(VLOOKUP($B283, Sheet4!$B:$I,E$3,0))</f>
        <v>0.001</v>
      </c>
      <c r="F283" t="str">
        <f>PROPER(VLOOKUP($B283, Sheet4!$B:$I,F$3,0))</f>
        <v>-0.029</v>
      </c>
      <c r="G283" t="str">
        <f>PROPER(VLOOKUP($B283, Sheet4!$B:$I,G$3,0))</f>
        <v>0.887</v>
      </c>
      <c r="H283" t="str">
        <f>PROPER(VLOOKUP($B283, Sheet4!$B:$I,H$3,0))</f>
        <v>$7,653,184</v>
      </c>
      <c r="I283" t="str">
        <f>PROPER(VLOOKUP($B283, Sheet4!$B:$I,I$3,0))</f>
        <v>$164,222,815</v>
      </c>
      <c r="J283" t="str">
        <f t="shared" si="14"/>
        <v>1.68</v>
      </c>
      <c r="K283">
        <f t="shared" si="12"/>
        <v>-2.9000000000000004</v>
      </c>
    </row>
    <row r="284" spans="1:11" ht="22" customHeight="1" x14ac:dyDescent="0.2">
      <c r="A284" s="29" t="str">
        <f t="shared" si="13"/>
        <v>10SET</v>
      </c>
      <c r="B284" s="8">
        <v>280</v>
      </c>
      <c r="C284" t="str">
        <f>PROPER(VLOOKUP($B284, Sheet4!$B:$I,C$3,0))</f>
        <v>Tenset (10Set)</v>
      </c>
      <c r="D284" t="str">
        <f>PROPER(VLOOKUP($B284, Sheet4!$B:$I,D$3,0))</f>
        <v>$1.88</v>
      </c>
      <c r="E284" t="str">
        <f>PROPER(VLOOKUP($B284, Sheet4!$B:$I,E$3,0))</f>
        <v>-0.018</v>
      </c>
      <c r="F284" t="str">
        <f>PROPER(VLOOKUP($B284, Sheet4!$B:$I,F$3,0))</f>
        <v>0.124</v>
      </c>
      <c r="G284" t="str">
        <f>PROPER(VLOOKUP($B284, Sheet4!$B:$I,G$3,0))</f>
        <v>0.086</v>
      </c>
      <c r="H284" t="str">
        <f>PROPER(VLOOKUP($B284, Sheet4!$B:$I,H$3,0))</f>
        <v>$2,371,643</v>
      </c>
      <c r="I284" t="str">
        <f>PROPER(VLOOKUP($B284, Sheet4!$B:$I,I$3,0))</f>
        <v>$164,020,998</v>
      </c>
      <c r="J284" t="str">
        <f t="shared" si="14"/>
        <v>1.88</v>
      </c>
      <c r="K284">
        <f t="shared" si="12"/>
        <v>12.4</v>
      </c>
    </row>
    <row r="285" spans="1:11" ht="22" customHeight="1" x14ac:dyDescent="0.2">
      <c r="A285" s="29" t="str">
        <f t="shared" si="13"/>
        <v>ARTR</v>
      </c>
      <c r="B285" s="8">
        <v>281</v>
      </c>
      <c r="C285" t="str">
        <f>PROPER(VLOOKUP($B285, Sheet4!$B:$I,C$3,0))</f>
        <v>Artery (Artr)</v>
      </c>
      <c r="D285" t="str">
        <f>PROPER(VLOOKUP($B285, Sheet4!$B:$I,D$3,0))</f>
        <v>$1.40</v>
      </c>
      <c r="E285" t="str">
        <f>PROPER(VLOOKUP($B285, Sheet4!$B:$I,E$3,0))</f>
        <v>0</v>
      </c>
      <c r="F285" t="str">
        <f>PROPER(VLOOKUP($B285, Sheet4!$B:$I,F$3,0))</f>
        <v>-0.007</v>
      </c>
      <c r="G285" t="str">
        <f>PROPER(VLOOKUP($B285, Sheet4!$B:$I,G$3,0))</f>
        <v>-0.017</v>
      </c>
      <c r="H285" t="str">
        <f>PROPER(VLOOKUP($B285, Sheet4!$B:$I,H$3,0))</f>
        <v>$223,095</v>
      </c>
      <c r="I285" t="str">
        <f>PROPER(VLOOKUP($B285, Sheet4!$B:$I,I$3,0))</f>
        <v>$161,131,133</v>
      </c>
      <c r="J285" t="str">
        <f t="shared" si="14"/>
        <v>1.40</v>
      </c>
      <c r="K285">
        <f t="shared" si="12"/>
        <v>-0.70000000000000007</v>
      </c>
    </row>
    <row r="286" spans="1:11" ht="22" customHeight="1" x14ac:dyDescent="0.2">
      <c r="A286" s="29" t="str">
        <f t="shared" si="13"/>
        <v>PAC</v>
      </c>
      <c r="B286" s="8">
        <v>282</v>
      </c>
      <c r="C286" t="str">
        <f>PROPER(VLOOKUP($B286, Sheet4!$B:$I,C$3,0))</f>
        <v>Pac Protocol (Pac)</v>
      </c>
      <c r="D286" t="str">
        <f>PROPER(VLOOKUP($B286, Sheet4!$B:$I,D$3,0))</f>
        <v>$0.010210412903</v>
      </c>
      <c r="E286" t="str">
        <f>PROPER(VLOOKUP($B286, Sheet4!$B:$I,E$3,0))</f>
        <v>-0.015</v>
      </c>
      <c r="F286" t="str">
        <f>PROPER(VLOOKUP($B286, Sheet4!$B:$I,F$3,0))</f>
        <v>0.016</v>
      </c>
      <c r="G286" t="str">
        <f>PROPER(VLOOKUP($B286, Sheet4!$B:$I,G$3,0))</f>
        <v>-0.014</v>
      </c>
      <c r="H286" t="str">
        <f>PROPER(VLOOKUP($B286, Sheet4!$B:$I,H$3,0))</f>
        <v>$765,545</v>
      </c>
      <c r="I286" t="str">
        <f>PROPER(VLOOKUP($B286, Sheet4!$B:$I,I$3,0))</f>
        <v>$160,466,101</v>
      </c>
      <c r="J286" t="str">
        <f t="shared" si="14"/>
        <v>0.010210412903</v>
      </c>
      <c r="K286">
        <f t="shared" si="12"/>
        <v>1.6</v>
      </c>
    </row>
    <row r="287" spans="1:11" ht="22" customHeight="1" x14ac:dyDescent="0.2">
      <c r="A287" s="29" t="str">
        <f t="shared" si="13"/>
        <v>TRAC</v>
      </c>
      <c r="B287" s="8">
        <v>283</v>
      </c>
      <c r="C287" t="str">
        <f>PROPER(VLOOKUP($B287, Sheet4!$B:$I,C$3,0))</f>
        <v>Origintrail (Trac)</v>
      </c>
      <c r="D287" t="str">
        <f>PROPER(VLOOKUP($B287, Sheet4!$B:$I,D$3,0))</f>
        <v>$0.440500</v>
      </c>
      <c r="E287" t="str">
        <f>PROPER(VLOOKUP($B287, Sheet4!$B:$I,E$3,0))</f>
        <v>-0.002</v>
      </c>
      <c r="F287" t="str">
        <f>PROPER(VLOOKUP($B287, Sheet4!$B:$I,F$3,0))</f>
        <v>0.076</v>
      </c>
      <c r="G287" t="str">
        <f>PROPER(VLOOKUP($B287, Sheet4!$B:$I,G$3,0))</f>
        <v>0.149</v>
      </c>
      <c r="H287" t="str">
        <f>PROPER(VLOOKUP($B287, Sheet4!$B:$I,H$3,0))</f>
        <v>$3,747,432</v>
      </c>
      <c r="I287" t="str">
        <f>PROPER(VLOOKUP($B287, Sheet4!$B:$I,I$3,0))</f>
        <v>$160,087,963</v>
      </c>
      <c r="J287" t="str">
        <f t="shared" si="14"/>
        <v>0.440500</v>
      </c>
      <c r="K287">
        <f t="shared" si="12"/>
        <v>7.6</v>
      </c>
    </row>
    <row r="288" spans="1:11" ht="22" customHeight="1" x14ac:dyDescent="0.2">
      <c r="A288" s="29" t="str">
        <f t="shared" si="13"/>
        <v>ATLAS</v>
      </c>
      <c r="B288" s="8">
        <v>284</v>
      </c>
      <c r="C288" t="str">
        <f>PROPER(VLOOKUP($B288, Sheet4!$B:$I,C$3,0))</f>
        <v>Star Atlas (Atlas)</v>
      </c>
      <c r="D288" t="str">
        <f>PROPER(VLOOKUP($B288, Sheet4!$B:$I,D$3,0))</f>
        <v>$0.073773544940</v>
      </c>
      <c r="E288" t="str">
        <f>PROPER(VLOOKUP($B288, Sheet4!$B:$I,E$3,0))</f>
        <v>0.001</v>
      </c>
      <c r="F288" t="str">
        <f>PROPER(VLOOKUP($B288, Sheet4!$B:$I,F$3,0))</f>
        <v>-0.026</v>
      </c>
      <c r="G288" t="str">
        <f>PROPER(VLOOKUP($B288, Sheet4!$B:$I,G$3,0))</f>
        <v>-0.104</v>
      </c>
      <c r="H288" t="str">
        <f>PROPER(VLOOKUP($B288, Sheet4!$B:$I,H$3,0))</f>
        <v>$8,960,098</v>
      </c>
      <c r="I288" t="str">
        <f>PROPER(VLOOKUP($B288, Sheet4!$B:$I,I$3,0))</f>
        <v>$159,154,366</v>
      </c>
      <c r="J288" t="str">
        <f t="shared" si="14"/>
        <v>0.073773544940</v>
      </c>
      <c r="K288">
        <f t="shared" si="12"/>
        <v>-2.6</v>
      </c>
    </row>
    <row r="289" spans="1:11" ht="22" customHeight="1" x14ac:dyDescent="0.2">
      <c r="A289" s="29" t="str">
        <f t="shared" si="13"/>
        <v>ANT</v>
      </c>
      <c r="B289" s="8">
        <v>285</v>
      </c>
      <c r="C289" t="str">
        <f>PROPER(VLOOKUP($B289, Sheet4!$B:$I,C$3,0))</f>
        <v>Aragon (Ant)</v>
      </c>
      <c r="D289" t="str">
        <f>PROPER(VLOOKUP($B289, Sheet4!$B:$I,D$3,0))</f>
        <v>$4.15</v>
      </c>
      <c r="E289" t="str">
        <f>PROPER(VLOOKUP($B289, Sheet4!$B:$I,E$3,0))</f>
        <v>-0.006</v>
      </c>
      <c r="F289" t="str">
        <f>PROPER(VLOOKUP($B289, Sheet4!$B:$I,F$3,0))</f>
        <v>-0.008</v>
      </c>
      <c r="G289" t="str">
        <f>PROPER(VLOOKUP($B289, Sheet4!$B:$I,G$3,0))</f>
        <v>-0.08</v>
      </c>
      <c r="H289" t="str">
        <f>PROPER(VLOOKUP($B289, Sheet4!$B:$I,H$3,0))</f>
        <v>$12,614,150</v>
      </c>
      <c r="I289" t="str">
        <f>PROPER(VLOOKUP($B289, Sheet4!$B:$I,I$3,0))</f>
        <v>$159,064,723</v>
      </c>
      <c r="J289" t="str">
        <f t="shared" si="14"/>
        <v>4.15</v>
      </c>
      <c r="K289">
        <f t="shared" si="12"/>
        <v>-0.8</v>
      </c>
    </row>
    <row r="290" spans="1:11" ht="22" customHeight="1" x14ac:dyDescent="0.2">
      <c r="A290" s="29" t="str">
        <f t="shared" si="13"/>
        <v>PLA</v>
      </c>
      <c r="B290" s="8">
        <v>286</v>
      </c>
      <c r="C290" t="str">
        <f>PROPER(VLOOKUP($B290, Sheet4!$B:$I,C$3,0))</f>
        <v>Playdapp (Pla)</v>
      </c>
      <c r="D290" t="str">
        <f>PROPER(VLOOKUP($B290, Sheet4!$B:$I,D$3,0))</f>
        <v>$0.655210</v>
      </c>
      <c r="E290" t="str">
        <f>PROPER(VLOOKUP($B290, Sheet4!$B:$I,E$3,0))</f>
        <v>0.005</v>
      </c>
      <c r="F290" t="str">
        <f>PROPER(VLOOKUP($B290, Sheet4!$B:$I,F$3,0))</f>
        <v>-0.036</v>
      </c>
      <c r="G290" t="str">
        <f>PROPER(VLOOKUP($B290, Sheet4!$B:$I,G$3,0))</f>
        <v>-0.006</v>
      </c>
      <c r="H290" t="str">
        <f>PROPER(VLOOKUP($B290, Sheet4!$B:$I,H$3,0))</f>
        <v>$6,174,961</v>
      </c>
      <c r="I290" t="str">
        <f>PROPER(VLOOKUP($B290, Sheet4!$B:$I,I$3,0))</f>
        <v>$157,525,728</v>
      </c>
      <c r="J290" t="str">
        <f t="shared" si="14"/>
        <v>0.655210</v>
      </c>
      <c r="K290">
        <f t="shared" si="12"/>
        <v>-3.5999999999999996</v>
      </c>
    </row>
    <row r="291" spans="1:11" ht="22" customHeight="1" x14ac:dyDescent="0.2">
      <c r="A291" s="29" t="str">
        <f t="shared" si="13"/>
        <v>SUPER</v>
      </c>
      <c r="B291" s="8">
        <v>287</v>
      </c>
      <c r="C291" t="str">
        <f>PROPER(VLOOKUP($B291, Sheet4!$B:$I,C$3,0))</f>
        <v>Superfarm (Super)</v>
      </c>
      <c r="D291" t="str">
        <f>PROPER(VLOOKUP($B291, Sheet4!$B:$I,D$3,0))</f>
        <v>$0.552219</v>
      </c>
      <c r="E291" t="str">
        <f>PROPER(VLOOKUP($B291, Sheet4!$B:$I,E$3,0))</f>
        <v>0.008</v>
      </c>
      <c r="F291" t="str">
        <f>PROPER(VLOOKUP($B291, Sheet4!$B:$I,F$3,0))</f>
        <v>-0.009</v>
      </c>
      <c r="G291" t="str">
        <f>PROPER(VLOOKUP($B291, Sheet4!$B:$I,G$3,0))</f>
        <v>-0.022</v>
      </c>
      <c r="H291" t="str">
        <f>PROPER(VLOOKUP($B291, Sheet4!$B:$I,H$3,0))</f>
        <v>$10,614,472</v>
      </c>
      <c r="I291" t="str">
        <f>PROPER(VLOOKUP($B291, Sheet4!$B:$I,I$3,0))</f>
        <v>$158,670,103</v>
      </c>
      <c r="J291" t="str">
        <f t="shared" si="14"/>
        <v>0.552219</v>
      </c>
      <c r="K291">
        <f t="shared" si="12"/>
        <v>-0.89999999999999991</v>
      </c>
    </row>
    <row r="292" spans="1:11" ht="22" customHeight="1" x14ac:dyDescent="0.2">
      <c r="A292" s="29" t="str">
        <f t="shared" si="13"/>
        <v>AUCTION</v>
      </c>
      <c r="B292" s="8">
        <v>288</v>
      </c>
      <c r="C292" t="str">
        <f>PROPER(VLOOKUP($B292, Sheet4!$B:$I,C$3,0))</f>
        <v>Bounce (Auction)</v>
      </c>
      <c r="D292" t="str">
        <f>PROPER(VLOOKUP($B292, Sheet4!$B:$I,D$3,0))</f>
        <v>$21.77</v>
      </c>
      <c r="E292" t="str">
        <f>PROPER(VLOOKUP($B292, Sheet4!$B:$I,E$3,0))</f>
        <v>-0.008</v>
      </c>
      <c r="F292" t="str">
        <f>PROPER(VLOOKUP($B292, Sheet4!$B:$I,F$3,0))</f>
        <v>-0.083</v>
      </c>
      <c r="G292" t="str">
        <f>PROPER(VLOOKUP($B292, Sheet4!$B:$I,G$3,0))</f>
        <v>-0.185</v>
      </c>
      <c r="H292" t="str">
        <f>PROPER(VLOOKUP($B292, Sheet4!$B:$I,H$3,0))</f>
        <v>$4,410,065</v>
      </c>
      <c r="I292" t="str">
        <f>PROPER(VLOOKUP($B292, Sheet4!$B:$I,I$3,0))</f>
        <v>$157,236,955</v>
      </c>
      <c r="J292" t="str">
        <f t="shared" si="14"/>
        <v>21.77</v>
      </c>
      <c r="K292">
        <f t="shared" si="12"/>
        <v>-8.3000000000000007</v>
      </c>
    </row>
    <row r="293" spans="1:11" ht="22" customHeight="1" x14ac:dyDescent="0.2">
      <c r="A293" s="29" t="str">
        <f t="shared" si="13"/>
        <v>FXS</v>
      </c>
      <c r="B293" s="8">
        <v>289</v>
      </c>
      <c r="C293" t="str">
        <f>PROPER(VLOOKUP($B293, Sheet4!$B:$I,C$3,0))</f>
        <v>Frax Share (Fxs)</v>
      </c>
      <c r="D293" t="str">
        <f>PROPER(VLOOKUP($B293, Sheet4!$B:$I,D$3,0))</f>
        <v>$4.53</v>
      </c>
      <c r="E293" t="str">
        <f>PROPER(VLOOKUP($B293, Sheet4!$B:$I,E$3,0))</f>
        <v>0.033</v>
      </c>
      <c r="F293" t="str">
        <f>PROPER(VLOOKUP($B293, Sheet4!$B:$I,F$3,0))</f>
        <v>0.033</v>
      </c>
      <c r="G293" t="str">
        <f>PROPER(VLOOKUP($B293, Sheet4!$B:$I,G$3,0))</f>
        <v>0.01</v>
      </c>
      <c r="H293" t="str">
        <f>PROPER(VLOOKUP($B293, Sheet4!$B:$I,H$3,0))</f>
        <v>$4,296,775</v>
      </c>
      <c r="I293" t="str">
        <f>PROPER(VLOOKUP($B293, Sheet4!$B:$I,I$3,0))</f>
        <v>$161,372,002</v>
      </c>
      <c r="J293" t="str">
        <f t="shared" si="14"/>
        <v>4.53</v>
      </c>
      <c r="K293">
        <f t="shared" si="12"/>
        <v>3.3000000000000003</v>
      </c>
    </row>
    <row r="294" spans="1:11" ht="22" customHeight="1" x14ac:dyDescent="0.2">
      <c r="A294" s="29" t="str">
        <f t="shared" si="13"/>
        <v>RLY</v>
      </c>
      <c r="B294" s="8">
        <v>290</v>
      </c>
      <c r="C294" t="str">
        <f>PROPER(VLOOKUP($B294, Sheet4!$B:$I,C$3,0))</f>
        <v>Rally (Rly)</v>
      </c>
      <c r="D294" t="str">
        <f>PROPER(VLOOKUP($B294, Sheet4!$B:$I,D$3,0))</f>
        <v>$0.519345</v>
      </c>
      <c r="E294" t="str">
        <f>PROPER(VLOOKUP($B294, Sheet4!$B:$I,E$3,0))</f>
        <v>0.006</v>
      </c>
      <c r="F294" t="str">
        <f>PROPER(VLOOKUP($B294, Sheet4!$B:$I,F$3,0))</f>
        <v>-0.032</v>
      </c>
      <c r="G294" t="str">
        <f>PROPER(VLOOKUP($B294, Sheet4!$B:$I,G$3,0))</f>
        <v>-0.044</v>
      </c>
      <c r="H294" t="str">
        <f>PROPER(VLOOKUP($B294, Sheet4!$B:$I,H$3,0))</f>
        <v>$7,196,649</v>
      </c>
      <c r="I294" t="str">
        <f>PROPER(VLOOKUP($B294, Sheet4!$B:$I,I$3,0))</f>
        <v>$155,918,154</v>
      </c>
      <c r="J294" t="str">
        <f t="shared" si="14"/>
        <v>0.519345</v>
      </c>
      <c r="K294">
        <f t="shared" si="12"/>
        <v>-3.2</v>
      </c>
    </row>
    <row r="295" spans="1:11" ht="22" customHeight="1" x14ac:dyDescent="0.2">
      <c r="A295" s="29" t="str">
        <f t="shared" si="13"/>
        <v>NWC</v>
      </c>
      <c r="B295" s="8">
        <v>291</v>
      </c>
      <c r="C295" t="str">
        <f>PROPER(VLOOKUP($B295, Sheet4!$B:$I,C$3,0))</f>
        <v>Newscrypto Coin (Nwc)</v>
      </c>
      <c r="D295" t="str">
        <f>PROPER(VLOOKUP($B295, Sheet4!$B:$I,D$3,0))</f>
        <v>$0.798589</v>
      </c>
      <c r="E295" t="str">
        <f>PROPER(VLOOKUP($B295, Sheet4!$B:$I,E$3,0))</f>
        <v>-0.021</v>
      </c>
      <c r="F295" t="str">
        <f>PROPER(VLOOKUP($B295, Sheet4!$B:$I,F$3,0))</f>
        <v>-0.005</v>
      </c>
      <c r="G295" t="str">
        <f>PROPER(VLOOKUP($B295, Sheet4!$B:$I,G$3,0))</f>
        <v>0.034</v>
      </c>
      <c r="H295" t="str">
        <f>PROPER(VLOOKUP($B295, Sheet4!$B:$I,H$3,0))</f>
        <v>$7,359,415</v>
      </c>
      <c r="I295" t="str">
        <f>PROPER(VLOOKUP($B295, Sheet4!$B:$I,I$3,0))</f>
        <v>$154,655,334</v>
      </c>
      <c r="J295" t="str">
        <f t="shared" si="14"/>
        <v>0.798589</v>
      </c>
      <c r="K295">
        <f t="shared" si="12"/>
        <v>-0.5</v>
      </c>
    </row>
    <row r="296" spans="1:11" ht="22" customHeight="1" x14ac:dyDescent="0.2">
      <c r="A296" s="29" t="str">
        <f t="shared" si="13"/>
        <v>RIF</v>
      </c>
      <c r="B296" s="8">
        <v>292</v>
      </c>
      <c r="C296" t="str">
        <f>PROPER(VLOOKUP($B296, Sheet4!$B:$I,C$3,0))</f>
        <v>Rsk Infrastructure Framework (Rif)</v>
      </c>
      <c r="D296" t="str">
        <f>PROPER(VLOOKUP($B296, Sheet4!$B:$I,D$3,0))</f>
        <v>$0.198147</v>
      </c>
      <c r="E296" t="str">
        <f>PROPER(VLOOKUP($B296, Sheet4!$B:$I,E$3,0))</f>
        <v>-0.004</v>
      </c>
      <c r="F296" t="str">
        <f>PROPER(VLOOKUP($B296, Sheet4!$B:$I,F$3,0))</f>
        <v>-0.007</v>
      </c>
      <c r="G296" t="str">
        <f>PROPER(VLOOKUP($B296, Sheet4!$B:$I,G$3,0))</f>
        <v>0.013</v>
      </c>
      <c r="H296" t="str">
        <f>PROPER(VLOOKUP($B296, Sheet4!$B:$I,H$3,0))</f>
        <v>$2,025,153</v>
      </c>
      <c r="I296" t="str">
        <f>PROPER(VLOOKUP($B296, Sheet4!$B:$I,I$3,0))</f>
        <v>$153,596,765</v>
      </c>
      <c r="J296" t="str">
        <f t="shared" si="14"/>
        <v>0.198147</v>
      </c>
      <c r="K296">
        <f t="shared" si="12"/>
        <v>-0.70000000000000007</v>
      </c>
    </row>
    <row r="297" spans="1:11" ht="22" customHeight="1" x14ac:dyDescent="0.2">
      <c r="A297" s="29" t="str">
        <f t="shared" si="13"/>
        <v>YFII</v>
      </c>
      <c r="B297" s="8">
        <v>293</v>
      </c>
      <c r="C297" t="str">
        <f>PROPER(VLOOKUP($B297, Sheet4!$B:$I,C$3,0))</f>
        <v>Dfi.Money (Yfii)</v>
      </c>
      <c r="D297" t="str">
        <f>PROPER(VLOOKUP($B297, Sheet4!$B:$I,D$3,0))</f>
        <v>$3,851.11</v>
      </c>
      <c r="E297" t="str">
        <f>PROPER(VLOOKUP($B297, Sheet4!$B:$I,E$3,0))</f>
        <v>0.001</v>
      </c>
      <c r="F297" t="str">
        <f>PROPER(VLOOKUP($B297, Sheet4!$B:$I,F$3,0))</f>
        <v>-0.064</v>
      </c>
      <c r="G297" t="str">
        <f>PROPER(VLOOKUP($B297, Sheet4!$B:$I,G$3,0))</f>
        <v>0.008</v>
      </c>
      <c r="H297" t="str">
        <f>PROPER(VLOOKUP($B297, Sheet4!$B:$I,H$3,0))</f>
        <v>$51,045,684</v>
      </c>
      <c r="I297" t="str">
        <f>PROPER(VLOOKUP($B297, Sheet4!$B:$I,I$3,0))</f>
        <v>$153,239,443</v>
      </c>
      <c r="J297" t="str">
        <f t="shared" si="14"/>
        <v>3,851.11</v>
      </c>
      <c r="K297">
        <f t="shared" si="12"/>
        <v>-6.4</v>
      </c>
    </row>
    <row r="298" spans="1:11" ht="22" customHeight="1" x14ac:dyDescent="0.2">
      <c r="A298" s="29" t="str">
        <f t="shared" si="13"/>
        <v>TIME</v>
      </c>
      <c r="B298" s="8">
        <v>294</v>
      </c>
      <c r="C298" t="str">
        <f>PROPER(VLOOKUP($B298, Sheet4!$B:$I,C$3,0))</f>
        <v>Wonderland (Time)</v>
      </c>
      <c r="D298" t="str">
        <f>PROPER(VLOOKUP($B298, Sheet4!$B:$I,D$3,0))</f>
        <v>$2,642.99</v>
      </c>
      <c r="E298" t="str">
        <f>PROPER(VLOOKUP($B298, Sheet4!$B:$I,E$3,0))</f>
        <v>-0.034</v>
      </c>
      <c r="F298" t="str">
        <f>PROPER(VLOOKUP($B298, Sheet4!$B:$I,F$3,0))</f>
        <v>0.076</v>
      </c>
      <c r="G298" t="str">
        <f>PROPER(VLOOKUP($B298, Sheet4!$B:$I,G$3,0))</f>
        <v>0.028</v>
      </c>
      <c r="H298" t="str">
        <f>PROPER(VLOOKUP($B298, Sheet4!$B:$I,H$3,0))</f>
        <v>$9,176,878</v>
      </c>
      <c r="I298" t="str">
        <f>PROPER(VLOOKUP($B298, Sheet4!$B:$I,I$3,0))</f>
        <v>$153,174,910</v>
      </c>
      <c r="J298" t="str">
        <f t="shared" si="14"/>
        <v>2,642.99</v>
      </c>
    </row>
    <row r="299" spans="1:11" ht="22" customHeight="1" x14ac:dyDescent="0.2">
      <c r="A299" s="29" t="str">
        <f t="shared" si="13"/>
        <v>ALCX</v>
      </c>
      <c r="B299" s="8">
        <v>295</v>
      </c>
      <c r="C299" t="str">
        <f>PROPER(VLOOKUP($B299, Sheet4!$B:$I,C$3,0))</f>
        <v>Alchemix (Alcx)</v>
      </c>
      <c r="D299" t="str">
        <f>PROPER(VLOOKUP($B299, Sheet4!$B:$I,D$3,0))</f>
        <v>$209.62</v>
      </c>
      <c r="E299" t="str">
        <f>PROPER(VLOOKUP($B299, Sheet4!$B:$I,E$3,0))</f>
        <v>0.002</v>
      </c>
      <c r="F299" t="str">
        <f>PROPER(VLOOKUP($B299, Sheet4!$B:$I,F$3,0))</f>
        <v>-0.027</v>
      </c>
      <c r="G299" t="str">
        <f>PROPER(VLOOKUP($B299, Sheet4!$B:$I,G$3,0))</f>
        <v>-0.022</v>
      </c>
      <c r="H299" t="str">
        <f>PROPER(VLOOKUP($B299, Sheet4!$B:$I,H$3,0))</f>
        <v>$975,410</v>
      </c>
      <c r="I299" t="str">
        <f>PROPER(VLOOKUP($B299, Sheet4!$B:$I,I$3,0))</f>
        <v>$151,417,911</v>
      </c>
      <c r="J299" t="str">
        <f t="shared" si="14"/>
        <v>209.62</v>
      </c>
    </row>
    <row r="300" spans="1:11" ht="22" customHeight="1" x14ac:dyDescent="0.2">
      <c r="A300" s="29" t="str">
        <f t="shared" si="13"/>
        <v>MBOX</v>
      </c>
      <c r="B300" s="8">
        <v>296</v>
      </c>
      <c r="C300" t="str">
        <f>PROPER(VLOOKUP($B300, Sheet4!$B:$I,C$3,0))</f>
        <v>Mobox (Mbox)</v>
      </c>
      <c r="D300" t="str">
        <f>PROPER(VLOOKUP($B300, Sheet4!$B:$I,D$3,0))</f>
        <v>$4.44</v>
      </c>
      <c r="E300" t="str">
        <f>PROPER(VLOOKUP($B300, Sheet4!$B:$I,E$3,0))</f>
        <v>0.006</v>
      </c>
      <c r="F300" t="str">
        <f>PROPER(VLOOKUP($B300, Sheet4!$B:$I,F$3,0))</f>
        <v>0.11</v>
      </c>
      <c r="G300" t="str">
        <f>PROPER(VLOOKUP($B300, Sheet4!$B:$I,G$3,0))</f>
        <v>0.015</v>
      </c>
      <c r="H300" t="str">
        <f>PROPER(VLOOKUP($B300, Sheet4!$B:$I,H$3,0))</f>
        <v>$94,268,930</v>
      </c>
      <c r="I300" t="str">
        <f>PROPER(VLOOKUP($B300, Sheet4!$B:$I,I$3,0))</f>
        <v>$148,821,451</v>
      </c>
      <c r="J300" t="str">
        <f t="shared" si="14"/>
        <v>4.44</v>
      </c>
    </row>
    <row r="301" spans="1:11" ht="22" customHeight="1" x14ac:dyDescent="0.2">
      <c r="A301" s="29" t="str">
        <f t="shared" si="13"/>
        <v>RARE</v>
      </c>
      <c r="B301" s="8">
        <v>297</v>
      </c>
      <c r="C301" t="str">
        <f>PROPER(VLOOKUP($B301, Sheet4!$B:$I,C$3,0))</f>
        <v>Superrare (Rare)</v>
      </c>
      <c r="D301" t="str">
        <f>PROPER(VLOOKUP($B301, Sheet4!$B:$I,D$3,0))</f>
        <v>$1.03</v>
      </c>
      <c r="E301" t="str">
        <f>PROPER(VLOOKUP($B301, Sheet4!$B:$I,E$3,0))</f>
        <v>-0.031</v>
      </c>
      <c r="F301" t="str">
        <f>PROPER(VLOOKUP($B301, Sheet4!$B:$I,F$3,0))</f>
        <v>0.009</v>
      </c>
      <c r="G301" t="str">
        <f>PROPER(VLOOKUP($B301, Sheet4!$B:$I,G$3,0))</f>
        <v>0.038</v>
      </c>
      <c r="H301" t="str">
        <f>PROPER(VLOOKUP($B301, Sheet4!$B:$I,H$3,0))</f>
        <v>$2,904,142</v>
      </c>
      <c r="I301" t="str">
        <f>PROPER(VLOOKUP($B301, Sheet4!$B:$I,I$3,0))</f>
        <v>$148,486,314</v>
      </c>
      <c r="J301" t="str">
        <f t="shared" si="14"/>
        <v>1.03</v>
      </c>
    </row>
    <row r="302" spans="1:11" ht="22" customHeight="1" x14ac:dyDescent="0.2">
      <c r="A302" s="29" t="str">
        <f t="shared" si="13"/>
        <v>CHR</v>
      </c>
      <c r="B302" s="8">
        <v>298</v>
      </c>
      <c r="C302" t="str">
        <f>PROPER(VLOOKUP($B302, Sheet4!$B:$I,C$3,0))</f>
        <v>Chromia (Chr)</v>
      </c>
      <c r="D302" t="str">
        <f>PROPER(VLOOKUP($B302, Sheet4!$B:$I,D$3,0))</f>
        <v>$0.261567</v>
      </c>
      <c r="E302" t="str">
        <f>PROPER(VLOOKUP($B302, Sheet4!$B:$I,E$3,0))</f>
        <v>0.004</v>
      </c>
      <c r="F302" t="str">
        <f>PROPER(VLOOKUP($B302, Sheet4!$B:$I,F$3,0))</f>
        <v>0.006</v>
      </c>
      <c r="G302" t="str">
        <f>PROPER(VLOOKUP($B302, Sheet4!$B:$I,G$3,0))</f>
        <v>0.03</v>
      </c>
      <c r="H302" t="str">
        <f>PROPER(VLOOKUP($B302, Sheet4!$B:$I,H$3,0))</f>
        <v>$46,131,948</v>
      </c>
      <c r="I302" t="str">
        <f>PROPER(VLOOKUP($B302, Sheet4!$B:$I,I$3,0))</f>
        <v>$147,775,349</v>
      </c>
      <c r="J302" t="str">
        <f t="shared" si="14"/>
        <v>0.261567</v>
      </c>
    </row>
    <row r="303" spans="1:11" ht="22" customHeight="1" x14ac:dyDescent="0.2">
      <c r="A303" s="29" t="str">
        <f t="shared" si="13"/>
        <v>NU</v>
      </c>
      <c r="B303" s="8">
        <v>299</v>
      </c>
      <c r="C303" t="str">
        <f>PROPER(VLOOKUP($B303, Sheet4!$B:$I,C$3,0))</f>
        <v>Nucypher (Nu)</v>
      </c>
      <c r="D303" t="str">
        <f>PROPER(VLOOKUP($B303, Sheet4!$B:$I,D$3,0))</f>
        <v>$0.263747</v>
      </c>
      <c r="E303" t="str">
        <f>PROPER(VLOOKUP($B303, Sheet4!$B:$I,E$3,0))</f>
        <v>-0.003</v>
      </c>
      <c r="F303" t="str">
        <f>PROPER(VLOOKUP($B303, Sheet4!$B:$I,F$3,0))</f>
        <v>-0.028</v>
      </c>
      <c r="G303" t="str">
        <f>PROPER(VLOOKUP($B303, Sheet4!$B:$I,G$3,0))</f>
        <v>0.032</v>
      </c>
      <c r="H303" t="str">
        <f>PROPER(VLOOKUP($B303, Sheet4!$B:$I,H$3,0))</f>
        <v>$48,321,934</v>
      </c>
      <c r="I303" t="str">
        <f>PROPER(VLOOKUP($B303, Sheet4!$B:$I,I$3,0))</f>
        <v>$147,704,107</v>
      </c>
      <c r="J303" t="str">
        <f t="shared" si="14"/>
        <v>0.263747</v>
      </c>
    </row>
    <row r="304" spans="1:11" ht="22" customHeight="1" x14ac:dyDescent="0.2">
      <c r="A304" s="29" t="str">
        <f t="shared" si="13"/>
        <v>XAUT</v>
      </c>
      <c r="B304" s="8">
        <v>300</v>
      </c>
      <c r="C304" t="str">
        <f>PROPER(VLOOKUP($B304, Sheet4!$B:$I,C$3,0))</f>
        <v>Tether Gold (Xaut)</v>
      </c>
      <c r="D304" t="str">
        <f>PROPER(VLOOKUP($B304, Sheet4!$B:$I,D$3,0))</f>
        <v>$1,728.84</v>
      </c>
      <c r="E304" t="str">
        <f>PROPER(VLOOKUP($B304, Sheet4!$B:$I,E$3,0))</f>
        <v>0.001</v>
      </c>
      <c r="F304" t="str">
        <f>PROPER(VLOOKUP($B304, Sheet4!$B:$I,F$3,0))</f>
        <v>-0.003</v>
      </c>
      <c r="G304" t="str">
        <f>PROPER(VLOOKUP($B304, Sheet4!$B:$I,G$3,0))</f>
        <v>-0.026</v>
      </c>
      <c r="H304" t="str">
        <f>PROPER(VLOOKUP($B304, Sheet4!$B:$I,H$3,0))</f>
        <v>$115,621</v>
      </c>
      <c r="I304" t="str">
        <f>PROPER(VLOOKUP($B304, Sheet4!$B:$I,I$3,0))</f>
        <v>$147,326,778</v>
      </c>
      <c r="J304" t="str">
        <f t="shared" si="14"/>
        <v>1,728.84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J1287"/>
  <sheetViews>
    <sheetView topLeftCell="A952" workbookViewId="0">
      <selection activeCell="D954" sqref="D954"/>
    </sheetView>
  </sheetViews>
  <sheetFormatPr baseColWidth="10" defaultColWidth="8.83203125" defaultRowHeight="16" x14ac:dyDescent="0.2"/>
  <cols>
    <col min="1" max="1" width="11.1640625" bestFit="1" customWidth="1"/>
    <col min="2" max="2" width="4.1640625" bestFit="1" customWidth="1"/>
    <col min="3" max="3" width="30.1640625" bestFit="1" customWidth="1"/>
    <col min="4" max="4" width="15.6640625" bestFit="1" customWidth="1"/>
    <col min="5" max="7" width="11.6640625" customWidth="1"/>
    <col min="8" max="9" width="25.83203125" customWidth="1"/>
    <col min="10" max="10" width="22.5" customWidth="1"/>
  </cols>
  <sheetData>
    <row r="1" spans="1:1" x14ac:dyDescent="0.2">
      <c r="A1" t="s">
        <v>10</v>
      </c>
    </row>
    <row r="2" spans="1:1" x14ac:dyDescent="0.2">
      <c r="A2" t="s">
        <v>11</v>
      </c>
    </row>
    <row r="3" spans="1:1" x14ac:dyDescent="0.2">
      <c r="A3" t="s">
        <v>12</v>
      </c>
    </row>
    <row r="4" spans="1:1" x14ac:dyDescent="0.2">
      <c r="A4" t="s">
        <v>13</v>
      </c>
    </row>
    <row r="5" spans="1:1" x14ac:dyDescent="0.2">
      <c r="A5" t="s">
        <v>14</v>
      </c>
    </row>
    <row r="6" spans="1:1" x14ac:dyDescent="0.2">
      <c r="A6" t="s">
        <v>15</v>
      </c>
    </row>
    <row r="7" spans="1:1" x14ac:dyDescent="0.2">
      <c r="A7" t="s">
        <v>16</v>
      </c>
    </row>
    <row r="8" spans="1:1" x14ac:dyDescent="0.2">
      <c r="A8" t="s">
        <v>17</v>
      </c>
    </row>
    <row r="9" spans="1:1" x14ac:dyDescent="0.2">
      <c r="A9" t="s">
        <v>18</v>
      </c>
    </row>
    <row r="10" spans="1:1" x14ac:dyDescent="0.2">
      <c r="A10" t="s">
        <v>19</v>
      </c>
    </row>
    <row r="11" spans="1:1" x14ac:dyDescent="0.2">
      <c r="A11" t="s">
        <v>20</v>
      </c>
    </row>
    <row r="12" spans="1:1" x14ac:dyDescent="0.2">
      <c r="A12" t="s">
        <v>21</v>
      </c>
    </row>
    <row r="13" spans="1:1" x14ac:dyDescent="0.2">
      <c r="A13" t="s">
        <v>22</v>
      </c>
    </row>
    <row r="14" spans="1:1" x14ac:dyDescent="0.2">
      <c r="A14" t="s">
        <v>23</v>
      </c>
    </row>
    <row r="15" spans="1:1" x14ac:dyDescent="0.2">
      <c r="A15" t="s">
        <v>24</v>
      </c>
    </row>
    <row r="16" spans="1:1" x14ac:dyDescent="0.2">
      <c r="A16" t="s">
        <v>25</v>
      </c>
    </row>
    <row r="17" spans="1:1" x14ac:dyDescent="0.2">
      <c r="A17" t="s">
        <v>26</v>
      </c>
    </row>
    <row r="18" spans="1:1" x14ac:dyDescent="0.2">
      <c r="A18" t="s">
        <v>27</v>
      </c>
    </row>
    <row r="19" spans="1:1" x14ac:dyDescent="0.2">
      <c r="A19" t="s">
        <v>28</v>
      </c>
    </row>
    <row r="20" spans="1:1" x14ac:dyDescent="0.2">
      <c r="A20" t="s">
        <v>29</v>
      </c>
    </row>
    <row r="21" spans="1:1" x14ac:dyDescent="0.2">
      <c r="A21" t="s">
        <v>26</v>
      </c>
    </row>
    <row r="22" spans="1:1" x14ac:dyDescent="0.2">
      <c r="A22" t="s">
        <v>30</v>
      </c>
    </row>
    <row r="23" spans="1:1" x14ac:dyDescent="0.2">
      <c r="A23" t="s">
        <v>31</v>
      </c>
    </row>
    <row r="24" spans="1:1" x14ac:dyDescent="0.2">
      <c r="A24" t="s">
        <v>32</v>
      </c>
    </row>
    <row r="25" spans="1:1" x14ac:dyDescent="0.2">
      <c r="A25" t="s">
        <v>33</v>
      </c>
    </row>
    <row r="26" spans="1:1" x14ac:dyDescent="0.2">
      <c r="A26" t="s">
        <v>34</v>
      </c>
    </row>
    <row r="27" spans="1:1" x14ac:dyDescent="0.2">
      <c r="A27" t="s">
        <v>35</v>
      </c>
    </row>
    <row r="28" spans="1:1" x14ac:dyDescent="0.2">
      <c r="A28" t="s">
        <v>36</v>
      </c>
    </row>
    <row r="29" spans="1:1" x14ac:dyDescent="0.2">
      <c r="A29" t="s">
        <v>37</v>
      </c>
    </row>
    <row r="30" spans="1:1" x14ac:dyDescent="0.2">
      <c r="A30" t="s">
        <v>38</v>
      </c>
    </row>
    <row r="31" spans="1:1" x14ac:dyDescent="0.2">
      <c r="A31" t="s">
        <v>39</v>
      </c>
    </row>
    <row r="32" spans="1:1" x14ac:dyDescent="0.2">
      <c r="A32" t="s">
        <v>40</v>
      </c>
    </row>
    <row r="33" spans="1:1" x14ac:dyDescent="0.2">
      <c r="A33" t="s">
        <v>41</v>
      </c>
    </row>
    <row r="34" spans="1:1" x14ac:dyDescent="0.2">
      <c r="A34" t="s">
        <v>42</v>
      </c>
    </row>
    <row r="35" spans="1:1" x14ac:dyDescent="0.2">
      <c r="A35" t="s">
        <v>43</v>
      </c>
    </row>
    <row r="36" spans="1:1" x14ac:dyDescent="0.2">
      <c r="A36" t="s">
        <v>44</v>
      </c>
    </row>
    <row r="37" spans="1:1" x14ac:dyDescent="0.2">
      <c r="A37" t="s">
        <v>45</v>
      </c>
    </row>
    <row r="38" spans="1:1" x14ac:dyDescent="0.2">
      <c r="A38" t="s">
        <v>46</v>
      </c>
    </row>
    <row r="39" spans="1:1" x14ac:dyDescent="0.2">
      <c r="A39" t="s">
        <v>47</v>
      </c>
    </row>
    <row r="40" spans="1:1" x14ac:dyDescent="0.2">
      <c r="A40" t="s">
        <v>48</v>
      </c>
    </row>
    <row r="41" spans="1:1" x14ac:dyDescent="0.2">
      <c r="A41" t="s">
        <v>49</v>
      </c>
    </row>
    <row r="42" spans="1:1" x14ac:dyDescent="0.2">
      <c r="A42" t="s">
        <v>50</v>
      </c>
    </row>
    <row r="43" spans="1:1" x14ac:dyDescent="0.2">
      <c r="A43" t="s">
        <v>51</v>
      </c>
    </row>
    <row r="44" spans="1:1" x14ac:dyDescent="0.2">
      <c r="A44" t="s">
        <v>52</v>
      </c>
    </row>
    <row r="45" spans="1:1" x14ac:dyDescent="0.2">
      <c r="A45" t="s">
        <v>53</v>
      </c>
    </row>
    <row r="46" spans="1:1" x14ac:dyDescent="0.2">
      <c r="A46" t="s">
        <v>54</v>
      </c>
    </row>
    <row r="47" spans="1:1" x14ac:dyDescent="0.2">
      <c r="A47" t="s">
        <v>55</v>
      </c>
    </row>
    <row r="48" spans="1:1" x14ac:dyDescent="0.2">
      <c r="A48" t="s">
        <v>56</v>
      </c>
    </row>
    <row r="49" spans="1:1" x14ac:dyDescent="0.2">
      <c r="A49" t="s">
        <v>57</v>
      </c>
    </row>
    <row r="50" spans="1:1" x14ac:dyDescent="0.2">
      <c r="A50" t="s">
        <v>58</v>
      </c>
    </row>
    <row r="51" spans="1:1" x14ac:dyDescent="0.2">
      <c r="A51" t="s">
        <v>59</v>
      </c>
    </row>
    <row r="52" spans="1:1" x14ac:dyDescent="0.2">
      <c r="A52" t="s">
        <v>60</v>
      </c>
    </row>
    <row r="53" spans="1:1" x14ac:dyDescent="0.2">
      <c r="A53" t="s">
        <v>61</v>
      </c>
    </row>
    <row r="54" spans="1:1" x14ac:dyDescent="0.2">
      <c r="A54" t="s">
        <v>62</v>
      </c>
    </row>
    <row r="55" spans="1:1" x14ac:dyDescent="0.2">
      <c r="A55" t="s">
        <v>63</v>
      </c>
    </row>
    <row r="56" spans="1:1" x14ac:dyDescent="0.2">
      <c r="A56" t="s">
        <v>64</v>
      </c>
    </row>
    <row r="57" spans="1:1" x14ac:dyDescent="0.2">
      <c r="A57" t="s">
        <v>10</v>
      </c>
    </row>
    <row r="58" spans="1:1" x14ac:dyDescent="0.2">
      <c r="A58" t="s">
        <v>11</v>
      </c>
    </row>
    <row r="59" spans="1:1" x14ac:dyDescent="0.2">
      <c r="A59" t="s">
        <v>65</v>
      </c>
    </row>
    <row r="60" spans="1:1" x14ac:dyDescent="0.2">
      <c r="A60" t="s">
        <v>66</v>
      </c>
    </row>
    <row r="61" spans="1:1" x14ac:dyDescent="0.2">
      <c r="A61" t="s">
        <v>67</v>
      </c>
    </row>
    <row r="62" spans="1:1" x14ac:dyDescent="0.2">
      <c r="A62" t="s">
        <v>68</v>
      </c>
    </row>
    <row r="63" spans="1:1" x14ac:dyDescent="0.2">
      <c r="A63" t="s">
        <v>69</v>
      </c>
    </row>
    <row r="64" spans="1:1" x14ac:dyDescent="0.2">
      <c r="A64" t="s">
        <v>70</v>
      </c>
    </row>
    <row r="65" spans="1:1" x14ac:dyDescent="0.2">
      <c r="A65" t="s">
        <v>71</v>
      </c>
    </row>
    <row r="66" spans="1:1" x14ac:dyDescent="0.2">
      <c r="A66" t="s">
        <v>72</v>
      </c>
    </row>
    <row r="67" spans="1:1" x14ac:dyDescent="0.2">
      <c r="A67" t="s">
        <v>73</v>
      </c>
    </row>
    <row r="68" spans="1:1" x14ac:dyDescent="0.2">
      <c r="A68" t="s">
        <v>74</v>
      </c>
    </row>
    <row r="69" spans="1:1" x14ac:dyDescent="0.2">
      <c r="A69" t="s">
        <v>75</v>
      </c>
    </row>
    <row r="70" spans="1:1" x14ac:dyDescent="0.2">
      <c r="A70" t="s">
        <v>76</v>
      </c>
    </row>
    <row r="71" spans="1:1" x14ac:dyDescent="0.2">
      <c r="A71" t="s">
        <v>77</v>
      </c>
    </row>
    <row r="72" spans="1:1" x14ac:dyDescent="0.2">
      <c r="A72" t="s">
        <v>78</v>
      </c>
    </row>
    <row r="73" spans="1:1" x14ac:dyDescent="0.2">
      <c r="A73" t="s">
        <v>79</v>
      </c>
    </row>
    <row r="74" spans="1:1" x14ac:dyDescent="0.2">
      <c r="A74" t="s">
        <v>80</v>
      </c>
    </row>
    <row r="75" spans="1:1" x14ac:dyDescent="0.2">
      <c r="A75" t="s">
        <v>81</v>
      </c>
    </row>
    <row r="76" spans="1:1" x14ac:dyDescent="0.2">
      <c r="A76" t="s">
        <v>82</v>
      </c>
    </row>
    <row r="77" spans="1:1" x14ac:dyDescent="0.2">
      <c r="A77" t="s">
        <v>83</v>
      </c>
    </row>
    <row r="78" spans="1:1" x14ac:dyDescent="0.2">
      <c r="A78" t="s">
        <v>84</v>
      </c>
    </row>
    <row r="79" spans="1:1" x14ac:dyDescent="0.2">
      <c r="A79" t="s">
        <v>85</v>
      </c>
    </row>
    <row r="80" spans="1:1" x14ac:dyDescent="0.2">
      <c r="A80" t="s">
        <v>86</v>
      </c>
    </row>
    <row r="81" spans="1:1" x14ac:dyDescent="0.2">
      <c r="A81" t="s">
        <v>87</v>
      </c>
    </row>
    <row r="82" spans="1:1" x14ac:dyDescent="0.2">
      <c r="A82" t="s">
        <v>88</v>
      </c>
    </row>
    <row r="84" spans="1:1" x14ac:dyDescent="0.2">
      <c r="A84" t="s">
        <v>89</v>
      </c>
    </row>
    <row r="85" spans="1:1" x14ac:dyDescent="0.2">
      <c r="A85" t="s">
        <v>90</v>
      </c>
    </row>
    <row r="87" spans="1:1" x14ac:dyDescent="0.2">
      <c r="A87" t="s">
        <v>6</v>
      </c>
    </row>
    <row r="88" spans="1:1" x14ac:dyDescent="0.2">
      <c r="A88" t="s">
        <v>91</v>
      </c>
    </row>
    <row r="90" spans="1:1" x14ac:dyDescent="0.2">
      <c r="A90" t="s">
        <v>92</v>
      </c>
    </row>
    <row r="91" spans="1:1" x14ac:dyDescent="0.2">
      <c r="A91" t="s">
        <v>93</v>
      </c>
    </row>
    <row r="93" spans="1:1" x14ac:dyDescent="0.2">
      <c r="A93" t="s">
        <v>94</v>
      </c>
    </row>
    <row r="94" spans="1:1" x14ac:dyDescent="0.2">
      <c r="A94" t="s">
        <v>95</v>
      </c>
    </row>
    <row r="96" spans="1:1" x14ac:dyDescent="0.2">
      <c r="A96" t="s">
        <v>7</v>
      </c>
    </row>
    <row r="97" spans="1:1" x14ac:dyDescent="0.2">
      <c r="A97" t="s">
        <v>96</v>
      </c>
    </row>
    <row r="99" spans="1:1" x14ac:dyDescent="0.2">
      <c r="A99" t="s">
        <v>97</v>
      </c>
    </row>
    <row r="100" spans="1:1" x14ac:dyDescent="0.2">
      <c r="A100" t="s">
        <v>97</v>
      </c>
    </row>
    <row r="102" spans="1:1" x14ac:dyDescent="0.2">
      <c r="A102" t="s">
        <v>98</v>
      </c>
    </row>
    <row r="103" spans="1:1" x14ac:dyDescent="0.2">
      <c r="A103" t="s">
        <v>98</v>
      </c>
    </row>
    <row r="105" spans="1:1" x14ac:dyDescent="0.2">
      <c r="A105" t="s">
        <v>99</v>
      </c>
    </row>
    <row r="106" spans="1:1" x14ac:dyDescent="0.2">
      <c r="A106" t="s">
        <v>100</v>
      </c>
    </row>
    <row r="108" spans="1:1" x14ac:dyDescent="0.2">
      <c r="A108" t="s">
        <v>101</v>
      </c>
    </row>
    <row r="109" spans="1:1" x14ac:dyDescent="0.2">
      <c r="A109" t="s">
        <v>102</v>
      </c>
    </row>
    <row r="111" spans="1:1" x14ac:dyDescent="0.2">
      <c r="A111" t="s">
        <v>3</v>
      </c>
    </row>
    <row r="112" spans="1:1" x14ac:dyDescent="0.2">
      <c r="A112" t="s">
        <v>103</v>
      </c>
    </row>
    <row r="114" spans="1:1" x14ac:dyDescent="0.2">
      <c r="A114" t="s">
        <v>104</v>
      </c>
    </row>
    <row r="115" spans="1:1" x14ac:dyDescent="0.2">
      <c r="A115" t="s">
        <v>105</v>
      </c>
    </row>
    <row r="117" spans="1:1" x14ac:dyDescent="0.2">
      <c r="A117" t="s">
        <v>106</v>
      </c>
    </row>
    <row r="119" spans="1:1" x14ac:dyDescent="0.2">
      <c r="A119" t="s">
        <v>107</v>
      </c>
    </row>
    <row r="120" spans="1:1" x14ac:dyDescent="0.2">
      <c r="A120" t="s">
        <v>108</v>
      </c>
    </row>
    <row r="122" spans="1:1" x14ac:dyDescent="0.2">
      <c r="A122" t="s">
        <v>109</v>
      </c>
    </row>
    <row r="123" spans="1:1" x14ac:dyDescent="0.2">
      <c r="A123" t="s">
        <v>110</v>
      </c>
    </row>
    <row r="125" spans="1:1" x14ac:dyDescent="0.2">
      <c r="A125" t="s">
        <v>111</v>
      </c>
    </row>
    <row r="127" spans="1:1" x14ac:dyDescent="0.2">
      <c r="A127" t="s">
        <v>112</v>
      </c>
    </row>
    <row r="128" spans="1:1" x14ac:dyDescent="0.2">
      <c r="A128" t="s">
        <v>113</v>
      </c>
    </row>
    <row r="130" spans="1:1" x14ac:dyDescent="0.2">
      <c r="A130" t="s">
        <v>114</v>
      </c>
    </row>
    <row r="131" spans="1:1" x14ac:dyDescent="0.2">
      <c r="A131" t="s">
        <v>115</v>
      </c>
    </row>
    <row r="133" spans="1:1" x14ac:dyDescent="0.2">
      <c r="A133" t="s">
        <v>116</v>
      </c>
    </row>
    <row r="134" spans="1:1" x14ac:dyDescent="0.2">
      <c r="A134" t="s">
        <v>117</v>
      </c>
    </row>
    <row r="136" spans="1:1" x14ac:dyDescent="0.2">
      <c r="A136" t="s">
        <v>118</v>
      </c>
    </row>
    <row r="137" spans="1:1" x14ac:dyDescent="0.2">
      <c r="A137" t="s">
        <v>119</v>
      </c>
    </row>
    <row r="139" spans="1:1" x14ac:dyDescent="0.2">
      <c r="A139" t="s">
        <v>120</v>
      </c>
    </row>
    <row r="140" spans="1:1" x14ac:dyDescent="0.2">
      <c r="A140" t="s">
        <v>121</v>
      </c>
    </row>
    <row r="142" spans="1:1" x14ac:dyDescent="0.2">
      <c r="A142" t="s">
        <v>122</v>
      </c>
    </row>
    <row r="143" spans="1:1" x14ac:dyDescent="0.2">
      <c r="A143" t="s">
        <v>123</v>
      </c>
    </row>
    <row r="145" spans="1:1" x14ac:dyDescent="0.2">
      <c r="A145" t="s">
        <v>124</v>
      </c>
    </row>
    <row r="146" spans="1:1" x14ac:dyDescent="0.2">
      <c r="A146" t="s">
        <v>125</v>
      </c>
    </row>
    <row r="148" spans="1:1" x14ac:dyDescent="0.2">
      <c r="A148" t="s">
        <v>126</v>
      </c>
    </row>
    <row r="149" spans="1:1" x14ac:dyDescent="0.2">
      <c r="A149" t="s">
        <v>127</v>
      </c>
    </row>
    <row r="151" spans="1:1" x14ac:dyDescent="0.2">
      <c r="A151" t="s">
        <v>128</v>
      </c>
    </row>
    <row r="153" spans="1:1" x14ac:dyDescent="0.2">
      <c r="A153" t="s">
        <v>129</v>
      </c>
    </row>
    <row r="154" spans="1:1" x14ac:dyDescent="0.2">
      <c r="A154" t="s">
        <v>130</v>
      </c>
    </row>
    <row r="156" spans="1:1" x14ac:dyDescent="0.2">
      <c r="A156" t="s">
        <v>131</v>
      </c>
    </row>
    <row r="157" spans="1:1" x14ac:dyDescent="0.2">
      <c r="A157" t="s">
        <v>132</v>
      </c>
    </row>
    <row r="159" spans="1:1" x14ac:dyDescent="0.2">
      <c r="A159" t="s">
        <v>133</v>
      </c>
    </row>
    <row r="160" spans="1:1" x14ac:dyDescent="0.2">
      <c r="A160" t="s">
        <v>134</v>
      </c>
    </row>
    <row r="162" spans="1:1" x14ac:dyDescent="0.2">
      <c r="A162" t="s">
        <v>135</v>
      </c>
    </row>
    <row r="163" spans="1:1" x14ac:dyDescent="0.2">
      <c r="A163" t="s">
        <v>136</v>
      </c>
    </row>
    <row r="165" spans="1:1" x14ac:dyDescent="0.2">
      <c r="A165" t="s">
        <v>137</v>
      </c>
    </row>
    <row r="166" spans="1:1" x14ac:dyDescent="0.2">
      <c r="A166" t="s">
        <v>138</v>
      </c>
    </row>
    <row r="168" spans="1:1" x14ac:dyDescent="0.2">
      <c r="A168" t="s">
        <v>139</v>
      </c>
    </row>
    <row r="169" spans="1:1" x14ac:dyDescent="0.2">
      <c r="A169" t="s">
        <v>140</v>
      </c>
    </row>
    <row r="171" spans="1:1" x14ac:dyDescent="0.2">
      <c r="A171" t="s">
        <v>141</v>
      </c>
    </row>
    <row r="172" spans="1:1" x14ac:dyDescent="0.2">
      <c r="A172" t="s">
        <v>142</v>
      </c>
    </row>
    <row r="174" spans="1:1" x14ac:dyDescent="0.2">
      <c r="A174" t="s">
        <v>143</v>
      </c>
    </row>
    <row r="175" spans="1:1" x14ac:dyDescent="0.2">
      <c r="A175" t="s">
        <v>144</v>
      </c>
    </row>
    <row r="177" spans="1:1" x14ac:dyDescent="0.2">
      <c r="A177" t="s">
        <v>145</v>
      </c>
    </row>
    <row r="178" spans="1:1" x14ac:dyDescent="0.2">
      <c r="A178" t="s">
        <v>146</v>
      </c>
    </row>
    <row r="180" spans="1:1" x14ac:dyDescent="0.2">
      <c r="A180" t="s">
        <v>147</v>
      </c>
    </row>
    <row r="181" spans="1:1" x14ac:dyDescent="0.2">
      <c r="A181" t="s">
        <v>148</v>
      </c>
    </row>
    <row r="183" spans="1:1" x14ac:dyDescent="0.2">
      <c r="A183" t="s">
        <v>149</v>
      </c>
    </row>
    <row r="184" spans="1:1" x14ac:dyDescent="0.2">
      <c r="A184" t="s">
        <v>150</v>
      </c>
    </row>
    <row r="186" spans="1:1" x14ac:dyDescent="0.2">
      <c r="A186" t="s">
        <v>151</v>
      </c>
    </row>
    <row r="187" spans="1:1" x14ac:dyDescent="0.2">
      <c r="A187" t="s">
        <v>152</v>
      </c>
    </row>
    <row r="189" spans="1:1" x14ac:dyDescent="0.2">
      <c r="A189" t="s">
        <v>153</v>
      </c>
    </row>
    <row r="190" spans="1:1" x14ac:dyDescent="0.2">
      <c r="A190" t="s">
        <v>154</v>
      </c>
    </row>
    <row r="192" spans="1:1" x14ac:dyDescent="0.2">
      <c r="A192" t="s">
        <v>155</v>
      </c>
    </row>
    <row r="193" spans="1:1" x14ac:dyDescent="0.2">
      <c r="A193" t="s">
        <v>156</v>
      </c>
    </row>
    <row r="195" spans="1:1" x14ac:dyDescent="0.2">
      <c r="A195" t="s">
        <v>157</v>
      </c>
    </row>
    <row r="196" spans="1:1" x14ac:dyDescent="0.2">
      <c r="A196" t="s">
        <v>158</v>
      </c>
    </row>
    <row r="198" spans="1:1" x14ac:dyDescent="0.2">
      <c r="A198" t="s">
        <v>159</v>
      </c>
    </row>
    <row r="199" spans="1:1" x14ac:dyDescent="0.2">
      <c r="A199" t="s">
        <v>160</v>
      </c>
    </row>
    <row r="201" spans="1:1" x14ac:dyDescent="0.2">
      <c r="A201" t="s">
        <v>161</v>
      </c>
    </row>
    <row r="202" spans="1:1" x14ac:dyDescent="0.2">
      <c r="A202" t="s">
        <v>162</v>
      </c>
    </row>
    <row r="204" spans="1:1" x14ac:dyDescent="0.2">
      <c r="A204" t="s">
        <v>163</v>
      </c>
    </row>
    <row r="205" spans="1:1" x14ac:dyDescent="0.2">
      <c r="A205" t="s">
        <v>164</v>
      </c>
    </row>
    <row r="207" spans="1:1" x14ac:dyDescent="0.2">
      <c r="A207" t="s">
        <v>165</v>
      </c>
    </row>
    <row r="208" spans="1:1" x14ac:dyDescent="0.2">
      <c r="A208" t="s">
        <v>166</v>
      </c>
    </row>
    <row r="210" spans="1:1" x14ac:dyDescent="0.2">
      <c r="A210" t="s">
        <v>167</v>
      </c>
    </row>
    <row r="211" spans="1:1" x14ac:dyDescent="0.2">
      <c r="A211" t="s">
        <v>168</v>
      </c>
    </row>
    <row r="213" spans="1:1" x14ac:dyDescent="0.2">
      <c r="A213" t="s">
        <v>169</v>
      </c>
    </row>
    <row r="214" spans="1:1" x14ac:dyDescent="0.2">
      <c r="A214" t="s">
        <v>170</v>
      </c>
    </row>
    <row r="216" spans="1:1" x14ac:dyDescent="0.2">
      <c r="A216" t="s">
        <v>171</v>
      </c>
    </row>
    <row r="217" spans="1:1" x14ac:dyDescent="0.2">
      <c r="A217" t="s">
        <v>172</v>
      </c>
    </row>
    <row r="219" spans="1:1" x14ac:dyDescent="0.2">
      <c r="A219" t="s">
        <v>173</v>
      </c>
    </row>
    <row r="220" spans="1:1" x14ac:dyDescent="0.2">
      <c r="A220" t="s">
        <v>174</v>
      </c>
    </row>
    <row r="222" spans="1:1" x14ac:dyDescent="0.2">
      <c r="A222" t="s">
        <v>175</v>
      </c>
    </row>
    <row r="223" spans="1:1" x14ac:dyDescent="0.2">
      <c r="A223" t="s">
        <v>176</v>
      </c>
    </row>
    <row r="225" spans="1:1" x14ac:dyDescent="0.2">
      <c r="A225" t="s">
        <v>177</v>
      </c>
    </row>
    <row r="226" spans="1:1" x14ac:dyDescent="0.2">
      <c r="A226" t="s">
        <v>178</v>
      </c>
    </row>
    <row r="228" spans="1:1" x14ac:dyDescent="0.2">
      <c r="A228" t="s">
        <v>179</v>
      </c>
    </row>
    <row r="229" spans="1:1" x14ac:dyDescent="0.2">
      <c r="A229" t="s">
        <v>180</v>
      </c>
    </row>
    <row r="231" spans="1:1" x14ac:dyDescent="0.2">
      <c r="A231" t="s">
        <v>181</v>
      </c>
    </row>
    <row r="232" spans="1:1" x14ac:dyDescent="0.2">
      <c r="A232" t="s">
        <v>182</v>
      </c>
    </row>
    <row r="234" spans="1:1" x14ac:dyDescent="0.2">
      <c r="A234" t="s">
        <v>183</v>
      </c>
    </row>
    <row r="235" spans="1:1" x14ac:dyDescent="0.2">
      <c r="A235" t="s">
        <v>184</v>
      </c>
    </row>
    <row r="237" spans="1:1" x14ac:dyDescent="0.2">
      <c r="A237" t="s">
        <v>185</v>
      </c>
    </row>
    <row r="238" spans="1:1" x14ac:dyDescent="0.2">
      <c r="A238" t="s">
        <v>186</v>
      </c>
    </row>
    <row r="240" spans="1:1" x14ac:dyDescent="0.2">
      <c r="A240" t="s">
        <v>187</v>
      </c>
    </row>
    <row r="241" spans="1:1" x14ac:dyDescent="0.2">
      <c r="A241" t="s">
        <v>188</v>
      </c>
    </row>
    <row r="243" spans="1:1" x14ac:dyDescent="0.2">
      <c r="A243" t="s">
        <v>189</v>
      </c>
    </row>
    <row r="244" spans="1:1" x14ac:dyDescent="0.2">
      <c r="A244" t="s">
        <v>190</v>
      </c>
    </row>
    <row r="246" spans="1:1" x14ac:dyDescent="0.2">
      <c r="A246" t="s">
        <v>191</v>
      </c>
    </row>
    <row r="247" spans="1:1" x14ac:dyDescent="0.2">
      <c r="A247" t="s">
        <v>192</v>
      </c>
    </row>
    <row r="249" spans="1:1" x14ac:dyDescent="0.2">
      <c r="A249" t="s">
        <v>193</v>
      </c>
    </row>
    <row r="250" spans="1:1" x14ac:dyDescent="0.2">
      <c r="A250" t="s">
        <v>194</v>
      </c>
    </row>
    <row r="252" spans="1:1" x14ac:dyDescent="0.2">
      <c r="A252" t="s">
        <v>195</v>
      </c>
    </row>
    <row r="253" spans="1:1" x14ac:dyDescent="0.2">
      <c r="A253" t="s">
        <v>196</v>
      </c>
    </row>
    <row r="255" spans="1:1" x14ac:dyDescent="0.2">
      <c r="A255" t="s">
        <v>197</v>
      </c>
    </row>
    <row r="256" spans="1:1" x14ac:dyDescent="0.2">
      <c r="A256" t="s">
        <v>198</v>
      </c>
    </row>
    <row r="258" spans="1:1" x14ac:dyDescent="0.2">
      <c r="A258" t="s">
        <v>199</v>
      </c>
    </row>
    <row r="259" spans="1:1" x14ac:dyDescent="0.2">
      <c r="A259" t="s">
        <v>200</v>
      </c>
    </row>
    <row r="261" spans="1:1" x14ac:dyDescent="0.2">
      <c r="A261" t="s">
        <v>201</v>
      </c>
    </row>
    <row r="262" spans="1:1" x14ac:dyDescent="0.2">
      <c r="A262" t="s">
        <v>202</v>
      </c>
    </row>
    <row r="264" spans="1:1" x14ac:dyDescent="0.2">
      <c r="A264" t="s">
        <v>203</v>
      </c>
    </row>
    <row r="265" spans="1:1" x14ac:dyDescent="0.2">
      <c r="A265" t="s">
        <v>204</v>
      </c>
    </row>
    <row r="267" spans="1:1" x14ac:dyDescent="0.2">
      <c r="A267" t="s">
        <v>205</v>
      </c>
    </row>
    <row r="269" spans="1:1" x14ac:dyDescent="0.2">
      <c r="A269" t="s">
        <v>206</v>
      </c>
    </row>
    <row r="270" spans="1:1" x14ac:dyDescent="0.2">
      <c r="A270" t="s">
        <v>207</v>
      </c>
    </row>
    <row r="272" spans="1:1" x14ac:dyDescent="0.2">
      <c r="A272" t="s">
        <v>208</v>
      </c>
    </row>
    <row r="273" spans="1:1" x14ac:dyDescent="0.2">
      <c r="A273" t="s">
        <v>209</v>
      </c>
    </row>
    <row r="275" spans="1:1" x14ac:dyDescent="0.2">
      <c r="A275" t="s">
        <v>210</v>
      </c>
    </row>
    <row r="276" spans="1:1" x14ac:dyDescent="0.2">
      <c r="A276" t="s">
        <v>19</v>
      </c>
    </row>
    <row r="277" spans="1:1" x14ac:dyDescent="0.2">
      <c r="A277" t="s">
        <v>19</v>
      </c>
    </row>
    <row r="278" spans="1:1" x14ac:dyDescent="0.2">
      <c r="A278" t="s">
        <v>211</v>
      </c>
    </row>
    <row r="279" spans="1:1" x14ac:dyDescent="0.2">
      <c r="A279" t="s">
        <v>212</v>
      </c>
    </row>
    <row r="280" spans="1:1" x14ac:dyDescent="0.2">
      <c r="A280" t="s">
        <v>213</v>
      </c>
    </row>
    <row r="281" spans="1:1" x14ac:dyDescent="0.2">
      <c r="A281" t="s">
        <v>214</v>
      </c>
    </row>
    <row r="282" spans="1:1" x14ac:dyDescent="0.2">
      <c r="A282" t="s">
        <v>215</v>
      </c>
    </row>
    <row r="283" spans="1:1" x14ac:dyDescent="0.2">
      <c r="A283" t="s">
        <v>216</v>
      </c>
    </row>
    <row r="284" spans="1:1" x14ac:dyDescent="0.2">
      <c r="A284" t="s">
        <v>217</v>
      </c>
    </row>
    <row r="285" spans="1:1" x14ac:dyDescent="0.2">
      <c r="A285" t="s">
        <v>218</v>
      </c>
    </row>
    <row r="287" spans="1:1" x14ac:dyDescent="0.2">
      <c r="A287" t="s">
        <v>219</v>
      </c>
    </row>
    <row r="288" spans="1:1" x14ac:dyDescent="0.2">
      <c r="A288" t="s">
        <v>220</v>
      </c>
    </row>
    <row r="289" spans="1:1" x14ac:dyDescent="0.2">
      <c r="A289" t="s">
        <v>26</v>
      </c>
    </row>
    <row r="290" spans="1:1" x14ac:dyDescent="0.2">
      <c r="A290" t="s">
        <v>27</v>
      </c>
    </row>
    <row r="291" spans="1:1" x14ac:dyDescent="0.2">
      <c r="A291" t="s">
        <v>221</v>
      </c>
    </row>
    <row r="292" spans="1:1" x14ac:dyDescent="0.2">
      <c r="A292" t="s">
        <v>222</v>
      </c>
    </row>
    <row r="293" spans="1:1" x14ac:dyDescent="0.2">
      <c r="A293" t="s">
        <v>30</v>
      </c>
    </row>
    <row r="294" spans="1:1" x14ac:dyDescent="0.2">
      <c r="A294" t="s">
        <v>223</v>
      </c>
    </row>
    <row r="295" spans="1:1" x14ac:dyDescent="0.2">
      <c r="A295" t="s">
        <v>224</v>
      </c>
    </row>
    <row r="296" spans="1:1" x14ac:dyDescent="0.2">
      <c r="A296" t="s">
        <v>211</v>
      </c>
    </row>
    <row r="297" spans="1:1" x14ac:dyDescent="0.2">
      <c r="A297" t="s">
        <v>225</v>
      </c>
    </row>
    <row r="298" spans="1:1" x14ac:dyDescent="0.2">
      <c r="A298" t="s">
        <v>226</v>
      </c>
    </row>
    <row r="299" spans="1:1" x14ac:dyDescent="0.2">
      <c r="A299" t="s">
        <v>37</v>
      </c>
    </row>
    <row r="300" spans="1:1" x14ac:dyDescent="0.2">
      <c r="A300" t="s">
        <v>38</v>
      </c>
    </row>
    <row r="301" spans="1:1" x14ac:dyDescent="0.2">
      <c r="A301" t="s">
        <v>39</v>
      </c>
    </row>
    <row r="302" spans="1:1" x14ac:dyDescent="0.2">
      <c r="A302" t="s">
        <v>40</v>
      </c>
    </row>
    <row r="303" spans="1:1" x14ac:dyDescent="0.2">
      <c r="A303" t="s">
        <v>227</v>
      </c>
    </row>
    <row r="304" spans="1:1" x14ac:dyDescent="0.2">
      <c r="A304" t="s">
        <v>228</v>
      </c>
    </row>
    <row r="305" spans="1:1" x14ac:dyDescent="0.2">
      <c r="A305" t="s">
        <v>45</v>
      </c>
    </row>
    <row r="306" spans="1:1" x14ac:dyDescent="0.2">
      <c r="A306" t="s">
        <v>46</v>
      </c>
    </row>
    <row r="307" spans="1:1" x14ac:dyDescent="0.2">
      <c r="A307" t="s">
        <v>47</v>
      </c>
    </row>
    <row r="308" spans="1:1" x14ac:dyDescent="0.2">
      <c r="A308" t="s">
        <v>48</v>
      </c>
    </row>
    <row r="309" spans="1:1" x14ac:dyDescent="0.2">
      <c r="A309" t="s">
        <v>229</v>
      </c>
    </row>
    <row r="310" spans="1:1" x14ac:dyDescent="0.2">
      <c r="A310" t="s">
        <v>230</v>
      </c>
    </row>
    <row r="311" spans="1:1" x14ac:dyDescent="0.2">
      <c r="A311" t="s">
        <v>52</v>
      </c>
    </row>
    <row r="312" spans="1:1" x14ac:dyDescent="0.2">
      <c r="A312" t="s">
        <v>231</v>
      </c>
    </row>
    <row r="314" spans="1:1" x14ac:dyDescent="0.2">
      <c r="A314" t="s">
        <v>233</v>
      </c>
    </row>
    <row r="315" spans="1:1" x14ac:dyDescent="0.2">
      <c r="A315" t="s">
        <v>234</v>
      </c>
    </row>
    <row r="316" spans="1:1" x14ac:dyDescent="0.2">
      <c r="A316" t="s">
        <v>235</v>
      </c>
    </row>
    <row r="317" spans="1:1" x14ac:dyDescent="0.2">
      <c r="A317" t="s">
        <v>236</v>
      </c>
    </row>
    <row r="318" spans="1:1" x14ac:dyDescent="0.2">
      <c r="A318" t="s">
        <v>237</v>
      </c>
    </row>
    <row r="319" spans="1:1" x14ac:dyDescent="0.2">
      <c r="A319" t="s">
        <v>238</v>
      </c>
    </row>
    <row r="320" spans="1:1" x14ac:dyDescent="0.2">
      <c r="A320" t="s">
        <v>239</v>
      </c>
    </row>
    <row r="321" spans="1:1" x14ac:dyDescent="0.2">
      <c r="A321" t="s">
        <v>240</v>
      </c>
    </row>
    <row r="322" spans="1:1" x14ac:dyDescent="0.2">
      <c r="A322" t="s">
        <v>241</v>
      </c>
    </row>
    <row r="323" spans="1:1" x14ac:dyDescent="0.2">
      <c r="A323" t="s">
        <v>242</v>
      </c>
    </row>
    <row r="324" spans="1:1" x14ac:dyDescent="0.2">
      <c r="A324" t="s">
        <v>243</v>
      </c>
    </row>
    <row r="325" spans="1:1" x14ac:dyDescent="0.2">
      <c r="A325" t="s">
        <v>246</v>
      </c>
    </row>
    <row r="326" spans="1:1" x14ac:dyDescent="0.2">
      <c r="A326" t="s">
        <v>245</v>
      </c>
    </row>
    <row r="327" spans="1:1" x14ac:dyDescent="0.2">
      <c r="A327" t="s">
        <v>244</v>
      </c>
    </row>
    <row r="328" spans="1:1" x14ac:dyDescent="0.2">
      <c r="A328" t="s">
        <v>247</v>
      </c>
    </row>
    <row r="329" spans="1:1" x14ac:dyDescent="0.2">
      <c r="A329" t="s">
        <v>248</v>
      </c>
    </row>
    <row r="330" spans="1:1" x14ac:dyDescent="0.2">
      <c r="A330" t="s">
        <v>249</v>
      </c>
    </row>
    <row r="331" spans="1:1" x14ac:dyDescent="0.2">
      <c r="A331" t="s">
        <v>251</v>
      </c>
    </row>
    <row r="332" spans="1:1" x14ac:dyDescent="0.2">
      <c r="A332" t="s">
        <v>250</v>
      </c>
    </row>
    <row r="333" spans="1:1" x14ac:dyDescent="0.2">
      <c r="A333" t="s">
        <v>252</v>
      </c>
    </row>
    <row r="334" spans="1:1" x14ac:dyDescent="0.2">
      <c r="A334" t="s">
        <v>256</v>
      </c>
    </row>
    <row r="335" spans="1:1" x14ac:dyDescent="0.2">
      <c r="A335" t="s">
        <v>254</v>
      </c>
    </row>
    <row r="336" spans="1:1" x14ac:dyDescent="0.2">
      <c r="A336" t="s">
        <v>255</v>
      </c>
    </row>
    <row r="337" spans="1:1" x14ac:dyDescent="0.2">
      <c r="A337" t="s">
        <v>253</v>
      </c>
    </row>
    <row r="338" spans="1:1" x14ac:dyDescent="0.2">
      <c r="A338" t="s">
        <v>347</v>
      </c>
    </row>
    <row r="339" spans="1:1" x14ac:dyDescent="0.2">
      <c r="A339" t="s">
        <v>258</v>
      </c>
    </row>
    <row r="340" spans="1:1" x14ac:dyDescent="0.2">
      <c r="A340" t="s">
        <v>257</v>
      </c>
    </row>
    <row r="341" spans="1:1" x14ac:dyDescent="0.2">
      <c r="A341" t="s">
        <v>260</v>
      </c>
    </row>
    <row r="342" spans="1:1" x14ac:dyDescent="0.2">
      <c r="A342" t="s">
        <v>259</v>
      </c>
    </row>
    <row r="343" spans="1:1" x14ac:dyDescent="0.2">
      <c r="A343" t="s">
        <v>261</v>
      </c>
    </row>
    <row r="344" spans="1:1" x14ac:dyDescent="0.2">
      <c r="A344" t="s">
        <v>268</v>
      </c>
    </row>
    <row r="345" spans="1:1" x14ac:dyDescent="0.2">
      <c r="A345" t="s">
        <v>265</v>
      </c>
    </row>
    <row r="346" spans="1:1" x14ac:dyDescent="0.2">
      <c r="A346" t="s">
        <v>979</v>
      </c>
    </row>
    <row r="347" spans="1:1" x14ac:dyDescent="0.2">
      <c r="A347" t="s">
        <v>262</v>
      </c>
    </row>
    <row r="348" spans="1:1" x14ac:dyDescent="0.2">
      <c r="A348" t="s">
        <v>264</v>
      </c>
    </row>
    <row r="349" spans="1:1" x14ac:dyDescent="0.2">
      <c r="A349" t="s">
        <v>263</v>
      </c>
    </row>
    <row r="350" spans="1:1" x14ac:dyDescent="0.2">
      <c r="A350" t="s">
        <v>266</v>
      </c>
    </row>
    <row r="351" spans="1:1" x14ac:dyDescent="0.2">
      <c r="A351" t="s">
        <v>267</v>
      </c>
    </row>
    <row r="352" spans="1:1" x14ac:dyDescent="0.2">
      <c r="A352" t="s">
        <v>270</v>
      </c>
    </row>
    <row r="353" spans="1:1" x14ac:dyDescent="0.2">
      <c r="A353" t="s">
        <v>269</v>
      </c>
    </row>
    <row r="354" spans="1:1" x14ac:dyDescent="0.2">
      <c r="A354" t="s">
        <v>274</v>
      </c>
    </row>
    <row r="355" spans="1:1" x14ac:dyDescent="0.2">
      <c r="A355" t="s">
        <v>26</v>
      </c>
    </row>
    <row r="356" spans="1:1" x14ac:dyDescent="0.2">
      <c r="A356" t="s">
        <v>271</v>
      </c>
    </row>
    <row r="357" spans="1:1" x14ac:dyDescent="0.2">
      <c r="A357" t="s">
        <v>272</v>
      </c>
    </row>
    <row r="358" spans="1:1" x14ac:dyDescent="0.2">
      <c r="A358" t="s">
        <v>330</v>
      </c>
    </row>
    <row r="359" spans="1:1" x14ac:dyDescent="0.2">
      <c r="A359" t="s">
        <v>273</v>
      </c>
    </row>
    <row r="360" spans="1:1" x14ac:dyDescent="0.2">
      <c r="A360" t="s">
        <v>278</v>
      </c>
    </row>
    <row r="361" spans="1:1" x14ac:dyDescent="0.2">
      <c r="A361" t="s">
        <v>276</v>
      </c>
    </row>
    <row r="362" spans="1:1" x14ac:dyDescent="0.2">
      <c r="A362" t="s">
        <v>275</v>
      </c>
    </row>
    <row r="363" spans="1:1" x14ac:dyDescent="0.2">
      <c r="A363" t="s">
        <v>280</v>
      </c>
    </row>
    <row r="364" spans="1:1" x14ac:dyDescent="0.2">
      <c r="A364" t="s">
        <v>277</v>
      </c>
    </row>
    <row r="365" spans="1:1" x14ac:dyDescent="0.2">
      <c r="A365" t="s">
        <v>279</v>
      </c>
    </row>
    <row r="366" spans="1:1" x14ac:dyDescent="0.2">
      <c r="A366" t="s">
        <v>286</v>
      </c>
    </row>
    <row r="367" spans="1:1" x14ac:dyDescent="0.2">
      <c r="A367" t="s">
        <v>284</v>
      </c>
    </row>
    <row r="368" spans="1:1" x14ac:dyDescent="0.2">
      <c r="A368" t="s">
        <v>281</v>
      </c>
    </row>
    <row r="369" spans="1:1" x14ac:dyDescent="0.2">
      <c r="A369" t="s">
        <v>283</v>
      </c>
    </row>
    <row r="370" spans="1:1" x14ac:dyDescent="0.2">
      <c r="A370" t="s">
        <v>334</v>
      </c>
    </row>
    <row r="371" spans="1:1" x14ac:dyDescent="0.2">
      <c r="A371" t="s">
        <v>282</v>
      </c>
    </row>
    <row r="372" spans="1:1" x14ac:dyDescent="0.2">
      <c r="A372" t="s">
        <v>285</v>
      </c>
    </row>
    <row r="373" spans="1:1" x14ac:dyDescent="0.2">
      <c r="A373" t="s">
        <v>288</v>
      </c>
    </row>
    <row r="374" spans="1:1" x14ac:dyDescent="0.2">
      <c r="A374" t="s">
        <v>287</v>
      </c>
    </row>
    <row r="375" spans="1:1" x14ac:dyDescent="0.2">
      <c r="A375" t="s">
        <v>289</v>
      </c>
    </row>
    <row r="376" spans="1:1" x14ac:dyDescent="0.2">
      <c r="A376" t="s">
        <v>290</v>
      </c>
    </row>
    <row r="377" spans="1:1" x14ac:dyDescent="0.2">
      <c r="A377" t="s">
        <v>292</v>
      </c>
    </row>
    <row r="378" spans="1:1" x14ac:dyDescent="0.2">
      <c r="A378" t="s">
        <v>291</v>
      </c>
    </row>
    <row r="379" spans="1:1" x14ac:dyDescent="0.2">
      <c r="A379" t="s">
        <v>293</v>
      </c>
    </row>
    <row r="380" spans="1:1" x14ac:dyDescent="0.2">
      <c r="A380" t="s">
        <v>980</v>
      </c>
    </row>
    <row r="381" spans="1:1" x14ac:dyDescent="0.2">
      <c r="A381" t="s">
        <v>294</v>
      </c>
    </row>
    <row r="382" spans="1:1" x14ac:dyDescent="0.2">
      <c r="A382" t="s">
        <v>295</v>
      </c>
    </row>
    <row r="383" spans="1:1" x14ac:dyDescent="0.2">
      <c r="A383" t="s">
        <v>296</v>
      </c>
    </row>
    <row r="384" spans="1:1" x14ac:dyDescent="0.2">
      <c r="A384" t="s">
        <v>297</v>
      </c>
    </row>
    <row r="385" spans="1:1" x14ac:dyDescent="0.2">
      <c r="A385" t="s">
        <v>298</v>
      </c>
    </row>
    <row r="386" spans="1:1" x14ac:dyDescent="0.2">
      <c r="A386" t="s">
        <v>299</v>
      </c>
    </row>
    <row r="387" spans="1:1" x14ac:dyDescent="0.2">
      <c r="A387" t="s">
        <v>300</v>
      </c>
    </row>
    <row r="389" spans="1:1" x14ac:dyDescent="0.2">
      <c r="A389" t="s">
        <v>301</v>
      </c>
    </row>
    <row r="391" spans="1:1" x14ac:dyDescent="0.2">
      <c r="A391" t="s">
        <v>302</v>
      </c>
    </row>
    <row r="392" spans="1:1" x14ac:dyDescent="0.2">
      <c r="A392" t="s">
        <v>303</v>
      </c>
    </row>
    <row r="394" spans="1:1" x14ac:dyDescent="0.2">
      <c r="A394" t="s">
        <v>1673</v>
      </c>
    </row>
    <row r="396" spans="1:1" x14ac:dyDescent="0.2">
      <c r="A396" t="s">
        <v>1674</v>
      </c>
    </row>
    <row r="397" spans="1:1" x14ac:dyDescent="0.2">
      <c r="A397" s="4" t="s">
        <v>302</v>
      </c>
    </row>
    <row r="398" spans="1:1" x14ac:dyDescent="0.2">
      <c r="A398" s="5" t="s">
        <v>303</v>
      </c>
    </row>
    <row r="399" spans="1:1" x14ac:dyDescent="0.2">
      <c r="A399" s="5" t="s">
        <v>1675</v>
      </c>
    </row>
    <row r="400" spans="1:1" x14ac:dyDescent="0.2">
      <c r="A400" s="4">
        <v>-5.0000000000000001E-3</v>
      </c>
    </row>
    <row r="401" spans="1:1" x14ac:dyDescent="0.2">
      <c r="A401" s="5" t="s">
        <v>304</v>
      </c>
    </row>
    <row r="402" spans="1:1" x14ac:dyDescent="0.2">
      <c r="A402" s="5" t="s">
        <v>1676</v>
      </c>
    </row>
    <row r="403" spans="1:1" x14ac:dyDescent="0.2">
      <c r="A403" s="5" t="s">
        <v>305</v>
      </c>
    </row>
    <row r="404" spans="1:1" x14ac:dyDescent="0.2">
      <c r="A404" s="5">
        <v>0.40820000000000001</v>
      </c>
    </row>
    <row r="405" spans="1:1" x14ac:dyDescent="0.2">
      <c r="A405" s="5" t="s">
        <v>306</v>
      </c>
    </row>
    <row r="406" spans="1:1" x14ac:dyDescent="0.2">
      <c r="A406" s="5">
        <v>9441</v>
      </c>
    </row>
    <row r="407" spans="1:1" x14ac:dyDescent="0.2">
      <c r="A407" t="s">
        <v>307</v>
      </c>
    </row>
    <row r="408" spans="1:1" x14ac:dyDescent="0.2">
      <c r="A408" t="s">
        <v>86</v>
      </c>
    </row>
    <row r="409" spans="1:1" x14ac:dyDescent="0.2">
      <c r="A409" t="s">
        <v>87</v>
      </c>
    </row>
    <row r="410" spans="1:1" x14ac:dyDescent="0.2">
      <c r="A410" t="s">
        <v>88</v>
      </c>
    </row>
    <row r="412" spans="1:1" x14ac:dyDescent="0.2">
      <c r="A412" t="s">
        <v>89</v>
      </c>
    </row>
    <row r="413" spans="1:1" x14ac:dyDescent="0.2">
      <c r="A413" t="s">
        <v>90</v>
      </c>
    </row>
    <row r="415" spans="1:1" x14ac:dyDescent="0.2">
      <c r="A415" t="s">
        <v>6</v>
      </c>
    </row>
    <row r="416" spans="1:1" x14ac:dyDescent="0.2">
      <c r="A416" t="s">
        <v>91</v>
      </c>
    </row>
    <row r="418" spans="1:1" x14ac:dyDescent="0.2">
      <c r="A418" t="s">
        <v>92</v>
      </c>
    </row>
    <row r="419" spans="1:1" x14ac:dyDescent="0.2">
      <c r="A419" t="s">
        <v>93</v>
      </c>
    </row>
    <row r="421" spans="1:1" x14ac:dyDescent="0.2">
      <c r="A421" t="s">
        <v>94</v>
      </c>
    </row>
    <row r="422" spans="1:1" x14ac:dyDescent="0.2">
      <c r="A422" t="s">
        <v>95</v>
      </c>
    </row>
    <row r="424" spans="1:1" x14ac:dyDescent="0.2">
      <c r="A424" t="s">
        <v>7</v>
      </c>
    </row>
    <row r="425" spans="1:1" x14ac:dyDescent="0.2">
      <c r="A425" t="s">
        <v>96</v>
      </c>
    </row>
    <row r="427" spans="1:1" x14ac:dyDescent="0.2">
      <c r="A427" t="s">
        <v>97</v>
      </c>
    </row>
    <row r="428" spans="1:1" x14ac:dyDescent="0.2">
      <c r="A428" t="s">
        <v>97</v>
      </c>
    </row>
    <row r="430" spans="1:1" x14ac:dyDescent="0.2">
      <c r="A430" t="s">
        <v>98</v>
      </c>
    </row>
    <row r="431" spans="1:1" x14ac:dyDescent="0.2">
      <c r="A431" t="s">
        <v>98</v>
      </c>
    </row>
    <row r="433" spans="1:1" x14ac:dyDescent="0.2">
      <c r="A433" t="s">
        <v>99</v>
      </c>
    </row>
    <row r="434" spans="1:1" x14ac:dyDescent="0.2">
      <c r="A434" t="s">
        <v>100</v>
      </c>
    </row>
    <row r="436" spans="1:1" x14ac:dyDescent="0.2">
      <c r="A436" t="s">
        <v>101</v>
      </c>
    </row>
    <row r="437" spans="1:1" x14ac:dyDescent="0.2">
      <c r="A437" t="s">
        <v>102</v>
      </c>
    </row>
    <row r="439" spans="1:1" x14ac:dyDescent="0.2">
      <c r="A439" t="s">
        <v>3</v>
      </c>
    </row>
    <row r="440" spans="1:1" x14ac:dyDescent="0.2">
      <c r="A440" t="s">
        <v>103</v>
      </c>
    </row>
    <row r="442" spans="1:1" x14ac:dyDescent="0.2">
      <c r="A442" t="s">
        <v>104</v>
      </c>
    </row>
    <row r="443" spans="1:1" x14ac:dyDescent="0.2">
      <c r="A443" t="s">
        <v>105</v>
      </c>
    </row>
    <row r="445" spans="1:1" x14ac:dyDescent="0.2">
      <c r="A445" t="s">
        <v>106</v>
      </c>
    </row>
    <row r="447" spans="1:1" x14ac:dyDescent="0.2">
      <c r="A447" t="s">
        <v>107</v>
      </c>
    </row>
    <row r="448" spans="1:1" x14ac:dyDescent="0.2">
      <c r="A448" t="s">
        <v>108</v>
      </c>
    </row>
    <row r="450" spans="1:1" x14ac:dyDescent="0.2">
      <c r="A450" t="s">
        <v>109</v>
      </c>
    </row>
    <row r="451" spans="1:1" x14ac:dyDescent="0.2">
      <c r="A451" t="s">
        <v>110</v>
      </c>
    </row>
    <row r="453" spans="1:1" x14ac:dyDescent="0.2">
      <c r="A453" t="s">
        <v>111</v>
      </c>
    </row>
    <row r="455" spans="1:1" x14ac:dyDescent="0.2">
      <c r="A455" t="s">
        <v>112</v>
      </c>
    </row>
    <row r="456" spans="1:1" x14ac:dyDescent="0.2">
      <c r="A456" t="s">
        <v>113</v>
      </c>
    </row>
    <row r="458" spans="1:1" x14ac:dyDescent="0.2">
      <c r="A458" t="s">
        <v>114</v>
      </c>
    </row>
    <row r="459" spans="1:1" x14ac:dyDescent="0.2">
      <c r="A459" t="s">
        <v>115</v>
      </c>
    </row>
    <row r="461" spans="1:1" x14ac:dyDescent="0.2">
      <c r="A461" t="s">
        <v>116</v>
      </c>
    </row>
    <row r="462" spans="1:1" x14ac:dyDescent="0.2">
      <c r="A462" t="s">
        <v>117</v>
      </c>
    </row>
    <row r="464" spans="1:1" x14ac:dyDescent="0.2">
      <c r="A464" t="s">
        <v>118</v>
      </c>
    </row>
    <row r="465" spans="1:1" x14ac:dyDescent="0.2">
      <c r="A465" t="s">
        <v>119</v>
      </c>
    </row>
    <row r="467" spans="1:1" x14ac:dyDescent="0.2">
      <c r="A467" t="s">
        <v>120</v>
      </c>
    </row>
    <row r="468" spans="1:1" x14ac:dyDescent="0.2">
      <c r="A468" t="s">
        <v>121</v>
      </c>
    </row>
    <row r="470" spans="1:1" x14ac:dyDescent="0.2">
      <c r="A470" t="s">
        <v>122</v>
      </c>
    </row>
    <row r="471" spans="1:1" x14ac:dyDescent="0.2">
      <c r="A471" t="s">
        <v>123</v>
      </c>
    </row>
    <row r="473" spans="1:1" x14ac:dyDescent="0.2">
      <c r="A473" t="s">
        <v>124</v>
      </c>
    </row>
    <row r="474" spans="1:1" x14ac:dyDescent="0.2">
      <c r="A474" t="s">
        <v>125</v>
      </c>
    </row>
    <row r="476" spans="1:1" x14ac:dyDescent="0.2">
      <c r="A476" t="s">
        <v>126</v>
      </c>
    </row>
    <row r="477" spans="1:1" x14ac:dyDescent="0.2">
      <c r="A477" t="s">
        <v>127</v>
      </c>
    </row>
    <row r="479" spans="1:1" x14ac:dyDescent="0.2">
      <c r="A479" t="s">
        <v>128</v>
      </c>
    </row>
    <row r="481" spans="1:1" x14ac:dyDescent="0.2">
      <c r="A481" t="s">
        <v>129</v>
      </c>
    </row>
    <row r="482" spans="1:1" x14ac:dyDescent="0.2">
      <c r="A482" t="s">
        <v>130</v>
      </c>
    </row>
    <row r="484" spans="1:1" x14ac:dyDescent="0.2">
      <c r="A484" t="s">
        <v>131</v>
      </c>
    </row>
    <row r="485" spans="1:1" x14ac:dyDescent="0.2">
      <c r="A485" t="s">
        <v>132</v>
      </c>
    </row>
    <row r="487" spans="1:1" x14ac:dyDescent="0.2">
      <c r="A487" t="s">
        <v>133</v>
      </c>
    </row>
    <row r="488" spans="1:1" x14ac:dyDescent="0.2">
      <c r="A488" t="s">
        <v>134</v>
      </c>
    </row>
    <row r="490" spans="1:1" x14ac:dyDescent="0.2">
      <c r="A490" t="s">
        <v>135</v>
      </c>
    </row>
    <row r="491" spans="1:1" x14ac:dyDescent="0.2">
      <c r="A491" t="s">
        <v>136</v>
      </c>
    </row>
    <row r="493" spans="1:1" x14ac:dyDescent="0.2">
      <c r="A493" t="s">
        <v>137</v>
      </c>
    </row>
    <row r="494" spans="1:1" x14ac:dyDescent="0.2">
      <c r="A494" t="s">
        <v>138</v>
      </c>
    </row>
    <row r="496" spans="1:1" x14ac:dyDescent="0.2">
      <c r="A496" t="s">
        <v>139</v>
      </c>
    </row>
    <row r="497" spans="1:1" x14ac:dyDescent="0.2">
      <c r="A497" t="s">
        <v>140</v>
      </c>
    </row>
    <row r="499" spans="1:1" x14ac:dyDescent="0.2">
      <c r="A499" t="s">
        <v>141</v>
      </c>
    </row>
    <row r="500" spans="1:1" x14ac:dyDescent="0.2">
      <c r="A500" t="s">
        <v>142</v>
      </c>
    </row>
    <row r="502" spans="1:1" x14ac:dyDescent="0.2">
      <c r="A502" t="s">
        <v>143</v>
      </c>
    </row>
    <row r="503" spans="1:1" x14ac:dyDescent="0.2">
      <c r="A503" t="s">
        <v>144</v>
      </c>
    </row>
    <row r="505" spans="1:1" x14ac:dyDescent="0.2">
      <c r="A505" t="s">
        <v>145</v>
      </c>
    </row>
    <row r="506" spans="1:1" x14ac:dyDescent="0.2">
      <c r="A506" t="s">
        <v>146</v>
      </c>
    </row>
    <row r="508" spans="1:1" x14ac:dyDescent="0.2">
      <c r="A508" t="s">
        <v>147</v>
      </c>
    </row>
    <row r="509" spans="1:1" x14ac:dyDescent="0.2">
      <c r="A509" t="s">
        <v>148</v>
      </c>
    </row>
    <row r="511" spans="1:1" x14ac:dyDescent="0.2">
      <c r="A511" t="s">
        <v>149</v>
      </c>
    </row>
    <row r="512" spans="1:1" x14ac:dyDescent="0.2">
      <c r="A512" t="s">
        <v>150</v>
      </c>
    </row>
    <row r="514" spans="1:1" x14ac:dyDescent="0.2">
      <c r="A514" t="s">
        <v>151</v>
      </c>
    </row>
    <row r="515" spans="1:1" x14ac:dyDescent="0.2">
      <c r="A515" t="s">
        <v>152</v>
      </c>
    </row>
    <row r="517" spans="1:1" x14ac:dyDescent="0.2">
      <c r="A517" t="s">
        <v>153</v>
      </c>
    </row>
    <row r="518" spans="1:1" x14ac:dyDescent="0.2">
      <c r="A518" t="s">
        <v>154</v>
      </c>
    </row>
    <row r="520" spans="1:1" x14ac:dyDescent="0.2">
      <c r="A520" t="s">
        <v>155</v>
      </c>
    </row>
    <row r="521" spans="1:1" x14ac:dyDescent="0.2">
      <c r="A521" t="s">
        <v>156</v>
      </c>
    </row>
    <row r="523" spans="1:1" x14ac:dyDescent="0.2">
      <c r="A523" t="s">
        <v>157</v>
      </c>
    </row>
    <row r="524" spans="1:1" x14ac:dyDescent="0.2">
      <c r="A524" t="s">
        <v>158</v>
      </c>
    </row>
    <row r="526" spans="1:1" x14ac:dyDescent="0.2">
      <c r="A526" t="s">
        <v>159</v>
      </c>
    </row>
    <row r="527" spans="1:1" x14ac:dyDescent="0.2">
      <c r="A527" t="s">
        <v>160</v>
      </c>
    </row>
    <row r="529" spans="1:1" x14ac:dyDescent="0.2">
      <c r="A529" t="s">
        <v>161</v>
      </c>
    </row>
    <row r="530" spans="1:1" x14ac:dyDescent="0.2">
      <c r="A530" t="s">
        <v>162</v>
      </c>
    </row>
    <row r="532" spans="1:1" x14ac:dyDescent="0.2">
      <c r="A532" t="s">
        <v>163</v>
      </c>
    </row>
    <row r="533" spans="1:1" x14ac:dyDescent="0.2">
      <c r="A533" t="s">
        <v>164</v>
      </c>
    </row>
    <row r="535" spans="1:1" x14ac:dyDescent="0.2">
      <c r="A535" t="s">
        <v>165</v>
      </c>
    </row>
    <row r="536" spans="1:1" x14ac:dyDescent="0.2">
      <c r="A536" t="s">
        <v>166</v>
      </c>
    </row>
    <row r="538" spans="1:1" x14ac:dyDescent="0.2">
      <c r="A538" t="s">
        <v>167</v>
      </c>
    </row>
    <row r="539" spans="1:1" x14ac:dyDescent="0.2">
      <c r="A539" t="s">
        <v>168</v>
      </c>
    </row>
    <row r="541" spans="1:1" x14ac:dyDescent="0.2">
      <c r="A541" t="s">
        <v>169</v>
      </c>
    </row>
    <row r="542" spans="1:1" x14ac:dyDescent="0.2">
      <c r="A542" t="s">
        <v>170</v>
      </c>
    </row>
    <row r="544" spans="1:1" x14ac:dyDescent="0.2">
      <c r="A544" t="s">
        <v>171</v>
      </c>
    </row>
    <row r="545" spans="1:1" x14ac:dyDescent="0.2">
      <c r="A545" t="s">
        <v>172</v>
      </c>
    </row>
    <row r="547" spans="1:1" x14ac:dyDescent="0.2">
      <c r="A547" t="s">
        <v>173</v>
      </c>
    </row>
    <row r="548" spans="1:1" x14ac:dyDescent="0.2">
      <c r="A548" t="s">
        <v>174</v>
      </c>
    </row>
    <row r="550" spans="1:1" x14ac:dyDescent="0.2">
      <c r="A550" t="s">
        <v>175</v>
      </c>
    </row>
    <row r="551" spans="1:1" x14ac:dyDescent="0.2">
      <c r="A551" t="s">
        <v>176</v>
      </c>
    </row>
    <row r="553" spans="1:1" x14ac:dyDescent="0.2">
      <c r="A553" t="s">
        <v>177</v>
      </c>
    </row>
    <row r="554" spans="1:1" x14ac:dyDescent="0.2">
      <c r="A554" t="s">
        <v>178</v>
      </c>
    </row>
    <row r="556" spans="1:1" x14ac:dyDescent="0.2">
      <c r="A556" t="s">
        <v>179</v>
      </c>
    </row>
    <row r="557" spans="1:1" x14ac:dyDescent="0.2">
      <c r="A557" t="s">
        <v>180</v>
      </c>
    </row>
    <row r="559" spans="1:1" x14ac:dyDescent="0.2">
      <c r="A559" t="s">
        <v>181</v>
      </c>
    </row>
    <row r="560" spans="1:1" x14ac:dyDescent="0.2">
      <c r="A560" t="s">
        <v>182</v>
      </c>
    </row>
    <row r="562" spans="1:1" x14ac:dyDescent="0.2">
      <c r="A562" t="s">
        <v>183</v>
      </c>
    </row>
    <row r="563" spans="1:1" x14ac:dyDescent="0.2">
      <c r="A563" t="s">
        <v>184</v>
      </c>
    </row>
    <row r="565" spans="1:1" x14ac:dyDescent="0.2">
      <c r="A565" t="s">
        <v>185</v>
      </c>
    </row>
    <row r="566" spans="1:1" x14ac:dyDescent="0.2">
      <c r="A566" t="s">
        <v>186</v>
      </c>
    </row>
    <row r="568" spans="1:1" x14ac:dyDescent="0.2">
      <c r="A568" t="s">
        <v>187</v>
      </c>
    </row>
    <row r="569" spans="1:1" x14ac:dyDescent="0.2">
      <c r="A569" t="s">
        <v>188</v>
      </c>
    </row>
    <row r="571" spans="1:1" x14ac:dyDescent="0.2">
      <c r="A571" t="s">
        <v>189</v>
      </c>
    </row>
    <row r="572" spans="1:1" x14ac:dyDescent="0.2">
      <c r="A572" t="s">
        <v>190</v>
      </c>
    </row>
    <row r="574" spans="1:1" x14ac:dyDescent="0.2">
      <c r="A574" t="s">
        <v>191</v>
      </c>
    </row>
    <row r="575" spans="1:1" x14ac:dyDescent="0.2">
      <c r="A575" t="s">
        <v>192</v>
      </c>
    </row>
    <row r="577" spans="1:1" x14ac:dyDescent="0.2">
      <c r="A577" t="s">
        <v>193</v>
      </c>
    </row>
    <row r="578" spans="1:1" x14ac:dyDescent="0.2">
      <c r="A578" t="s">
        <v>194</v>
      </c>
    </row>
    <row r="580" spans="1:1" x14ac:dyDescent="0.2">
      <c r="A580" t="s">
        <v>195</v>
      </c>
    </row>
    <row r="581" spans="1:1" x14ac:dyDescent="0.2">
      <c r="A581" t="s">
        <v>196</v>
      </c>
    </row>
    <row r="583" spans="1:1" x14ac:dyDescent="0.2">
      <c r="A583" t="s">
        <v>197</v>
      </c>
    </row>
    <row r="584" spans="1:1" x14ac:dyDescent="0.2">
      <c r="A584" t="s">
        <v>198</v>
      </c>
    </row>
    <row r="586" spans="1:1" x14ac:dyDescent="0.2">
      <c r="A586" t="s">
        <v>199</v>
      </c>
    </row>
    <row r="587" spans="1:1" x14ac:dyDescent="0.2">
      <c r="A587" t="s">
        <v>200</v>
      </c>
    </row>
    <row r="589" spans="1:1" x14ac:dyDescent="0.2">
      <c r="A589" t="s">
        <v>201</v>
      </c>
    </row>
    <row r="590" spans="1:1" x14ac:dyDescent="0.2">
      <c r="A590" t="s">
        <v>202</v>
      </c>
    </row>
    <row r="592" spans="1:1" x14ac:dyDescent="0.2">
      <c r="A592" t="s">
        <v>203</v>
      </c>
    </row>
    <row r="593" spans="1:1" x14ac:dyDescent="0.2">
      <c r="A593" t="s">
        <v>204</v>
      </c>
    </row>
    <row r="595" spans="1:1" x14ac:dyDescent="0.2">
      <c r="A595" t="s">
        <v>205</v>
      </c>
    </row>
    <row r="597" spans="1:1" x14ac:dyDescent="0.2">
      <c r="A597" t="s">
        <v>206</v>
      </c>
    </row>
    <row r="598" spans="1:1" x14ac:dyDescent="0.2">
      <c r="A598" t="s">
        <v>207</v>
      </c>
    </row>
    <row r="600" spans="1:1" x14ac:dyDescent="0.2">
      <c r="A600" t="s">
        <v>208</v>
      </c>
    </row>
    <row r="601" spans="1:1" x14ac:dyDescent="0.2">
      <c r="A601" t="s">
        <v>209</v>
      </c>
    </row>
    <row r="603" spans="1:1" x14ac:dyDescent="0.2">
      <c r="A603" t="s">
        <v>308</v>
      </c>
    </row>
    <row r="605" spans="1:1" x14ac:dyDescent="0.2">
      <c r="A605" t="s">
        <v>309</v>
      </c>
    </row>
    <row r="606" spans="1:1" x14ac:dyDescent="0.2">
      <c r="A606" t="s">
        <v>293</v>
      </c>
    </row>
    <row r="607" spans="1:1" x14ac:dyDescent="0.2">
      <c r="A607" t="s">
        <v>272</v>
      </c>
    </row>
    <row r="608" spans="1:1" x14ac:dyDescent="0.2">
      <c r="A608" t="s">
        <v>1033</v>
      </c>
    </row>
    <row r="609" spans="1:1" x14ac:dyDescent="0.2">
      <c r="A609" t="s">
        <v>310</v>
      </c>
    </row>
    <row r="610" spans="1:1" x14ac:dyDescent="0.2">
      <c r="A610" t="s">
        <v>260</v>
      </c>
    </row>
    <row r="611" spans="1:1" x14ac:dyDescent="0.2">
      <c r="A611" t="s">
        <v>311</v>
      </c>
    </row>
    <row r="612" spans="1:1" x14ac:dyDescent="0.2">
      <c r="A612" t="s">
        <v>312</v>
      </c>
    </row>
    <row r="613" spans="1:1" x14ac:dyDescent="0.2">
      <c r="A613" t="s">
        <v>258</v>
      </c>
    </row>
    <row r="614" spans="1:1" x14ac:dyDescent="0.2">
      <c r="A614" t="s">
        <v>268</v>
      </c>
    </row>
    <row r="615" spans="1:1" x14ac:dyDescent="0.2">
      <c r="A615" t="s">
        <v>313</v>
      </c>
    </row>
    <row r="616" spans="1:1" x14ac:dyDescent="0.2">
      <c r="A616" t="s">
        <v>314</v>
      </c>
    </row>
    <row r="617" spans="1:1" x14ac:dyDescent="0.2">
      <c r="A617" t="s">
        <v>315</v>
      </c>
    </row>
    <row r="618" spans="1:1" x14ac:dyDescent="0.2">
      <c r="A618" t="s">
        <v>247</v>
      </c>
    </row>
    <row r="619" spans="1:1" x14ac:dyDescent="0.2">
      <c r="A619" t="s">
        <v>316</v>
      </c>
    </row>
    <row r="620" spans="1:1" x14ac:dyDescent="0.2">
      <c r="A620" t="s">
        <v>317</v>
      </c>
    </row>
    <row r="621" spans="1:1" x14ac:dyDescent="0.2">
      <c r="A621" t="s">
        <v>992</v>
      </c>
    </row>
    <row r="622" spans="1:1" x14ac:dyDescent="0.2">
      <c r="A622" t="s">
        <v>248</v>
      </c>
    </row>
    <row r="623" spans="1:1" x14ac:dyDescent="0.2">
      <c r="A623" t="s">
        <v>318</v>
      </c>
    </row>
    <row r="624" spans="1:1" x14ac:dyDescent="0.2">
      <c r="A624" t="s">
        <v>319</v>
      </c>
    </row>
    <row r="625" spans="1:1" x14ac:dyDescent="0.2">
      <c r="A625" t="s">
        <v>320</v>
      </c>
    </row>
    <row r="626" spans="1:1" x14ac:dyDescent="0.2">
      <c r="A626" t="s">
        <v>321</v>
      </c>
    </row>
    <row r="627" spans="1:1" x14ac:dyDescent="0.2">
      <c r="A627" t="s">
        <v>322</v>
      </c>
    </row>
    <row r="628" spans="1:1" x14ac:dyDescent="0.2">
      <c r="A628" t="s">
        <v>256</v>
      </c>
    </row>
    <row r="629" spans="1:1" x14ac:dyDescent="0.2">
      <c r="A629" t="s">
        <v>323</v>
      </c>
    </row>
    <row r="630" spans="1:1" x14ac:dyDescent="0.2">
      <c r="A630" t="s">
        <v>324</v>
      </c>
    </row>
    <row r="631" spans="1:1" x14ac:dyDescent="0.2">
      <c r="A631" t="s">
        <v>255</v>
      </c>
    </row>
    <row r="632" spans="1:1" x14ac:dyDescent="0.2">
      <c r="A632" t="s">
        <v>245</v>
      </c>
    </row>
    <row r="633" spans="1:1" x14ac:dyDescent="0.2">
      <c r="A633" t="s">
        <v>288</v>
      </c>
    </row>
    <row r="634" spans="1:1" x14ac:dyDescent="0.2">
      <c r="A634" t="s">
        <v>26</v>
      </c>
    </row>
    <row r="635" spans="1:1" x14ac:dyDescent="0.2">
      <c r="A635" t="s">
        <v>325</v>
      </c>
    </row>
    <row r="636" spans="1:1" x14ac:dyDescent="0.2">
      <c r="A636" t="s">
        <v>326</v>
      </c>
    </row>
    <row r="637" spans="1:1" x14ac:dyDescent="0.2">
      <c r="A637" t="s">
        <v>327</v>
      </c>
    </row>
    <row r="638" spans="1:1" x14ac:dyDescent="0.2">
      <c r="A638" t="s">
        <v>328</v>
      </c>
    </row>
    <row r="639" spans="1:1" x14ac:dyDescent="0.2">
      <c r="A639" t="s">
        <v>274</v>
      </c>
    </row>
    <row r="640" spans="1:1" x14ac:dyDescent="0.2">
      <c r="A640" t="s">
        <v>329</v>
      </c>
    </row>
    <row r="641" spans="1:1" x14ac:dyDescent="0.2">
      <c r="A641" t="s">
        <v>244</v>
      </c>
    </row>
    <row r="642" spans="1:1" x14ac:dyDescent="0.2">
      <c r="A642" t="s">
        <v>290</v>
      </c>
    </row>
    <row r="643" spans="1:1" x14ac:dyDescent="0.2">
      <c r="A643" t="s">
        <v>330</v>
      </c>
    </row>
    <row r="644" spans="1:1" x14ac:dyDescent="0.2">
      <c r="A644" t="s">
        <v>261</v>
      </c>
    </row>
    <row r="645" spans="1:1" x14ac:dyDescent="0.2">
      <c r="A645" t="s">
        <v>287</v>
      </c>
    </row>
    <row r="646" spans="1:1" x14ac:dyDescent="0.2">
      <c r="A646" t="s">
        <v>269</v>
      </c>
    </row>
    <row r="647" spans="1:1" x14ac:dyDescent="0.2">
      <c r="A647" t="s">
        <v>331</v>
      </c>
    </row>
    <row r="648" spans="1:1" x14ac:dyDescent="0.2">
      <c r="A648" t="s">
        <v>332</v>
      </c>
    </row>
    <row r="649" spans="1:1" x14ac:dyDescent="0.2">
      <c r="A649" t="s">
        <v>252</v>
      </c>
    </row>
    <row r="650" spans="1:1" x14ac:dyDescent="0.2">
      <c r="A650" t="s">
        <v>979</v>
      </c>
    </row>
    <row r="651" spans="1:1" x14ac:dyDescent="0.2">
      <c r="A651" t="s">
        <v>333</v>
      </c>
    </row>
    <row r="652" spans="1:1" x14ac:dyDescent="0.2">
      <c r="A652" t="s">
        <v>334</v>
      </c>
    </row>
    <row r="653" spans="1:1" x14ac:dyDescent="0.2">
      <c r="A653" t="s">
        <v>335</v>
      </c>
    </row>
    <row r="654" spans="1:1" x14ac:dyDescent="0.2">
      <c r="A654" t="s">
        <v>336</v>
      </c>
    </row>
    <row r="655" spans="1:1" x14ac:dyDescent="0.2">
      <c r="A655" t="s">
        <v>281</v>
      </c>
    </row>
    <row r="656" spans="1:1" x14ac:dyDescent="0.2">
      <c r="A656" t="s">
        <v>263</v>
      </c>
    </row>
    <row r="657" spans="1:1" x14ac:dyDescent="0.2">
      <c r="A657" t="s">
        <v>337</v>
      </c>
    </row>
    <row r="658" spans="1:1" x14ac:dyDescent="0.2">
      <c r="A658" t="s">
        <v>338</v>
      </c>
    </row>
    <row r="659" spans="1:1" x14ac:dyDescent="0.2">
      <c r="A659" t="s">
        <v>339</v>
      </c>
    </row>
    <row r="660" spans="1:1" x14ac:dyDescent="0.2">
      <c r="A660" t="s">
        <v>340</v>
      </c>
    </row>
    <row r="661" spans="1:1" x14ac:dyDescent="0.2">
      <c r="A661" t="s">
        <v>264</v>
      </c>
    </row>
    <row r="662" spans="1:1" x14ac:dyDescent="0.2">
      <c r="A662" t="s">
        <v>341</v>
      </c>
    </row>
    <row r="663" spans="1:1" x14ac:dyDescent="0.2">
      <c r="A663" t="s">
        <v>342</v>
      </c>
    </row>
    <row r="664" spans="1:1" x14ac:dyDescent="0.2">
      <c r="A664" t="s">
        <v>343</v>
      </c>
    </row>
    <row r="665" spans="1:1" x14ac:dyDescent="0.2">
      <c r="A665" t="s">
        <v>344</v>
      </c>
    </row>
    <row r="666" spans="1:1" x14ac:dyDescent="0.2">
      <c r="A666" t="s">
        <v>273</v>
      </c>
    </row>
    <row r="667" spans="1:1" x14ac:dyDescent="0.2">
      <c r="A667" t="s">
        <v>345</v>
      </c>
    </row>
    <row r="668" spans="1:1" x14ac:dyDescent="0.2">
      <c r="A668" t="s">
        <v>253</v>
      </c>
    </row>
    <row r="669" spans="1:1" x14ac:dyDescent="0.2">
      <c r="A669" t="s">
        <v>279</v>
      </c>
    </row>
    <row r="670" spans="1:1" x14ac:dyDescent="0.2">
      <c r="A670" t="s">
        <v>284</v>
      </c>
    </row>
    <row r="671" spans="1:1" x14ac:dyDescent="0.2">
      <c r="A671" t="s">
        <v>346</v>
      </c>
    </row>
    <row r="672" spans="1:1" x14ac:dyDescent="0.2">
      <c r="A672" t="s">
        <v>282</v>
      </c>
    </row>
    <row r="673" spans="1:1" x14ac:dyDescent="0.2">
      <c r="A673" t="s">
        <v>347</v>
      </c>
    </row>
    <row r="674" spans="1:1" x14ac:dyDescent="0.2">
      <c r="A674" t="s">
        <v>348</v>
      </c>
    </row>
    <row r="675" spans="1:1" x14ac:dyDescent="0.2">
      <c r="A675" t="s">
        <v>349</v>
      </c>
    </row>
    <row r="676" spans="1:1" x14ac:dyDescent="0.2">
      <c r="A676" t="s">
        <v>257</v>
      </c>
    </row>
    <row r="677" spans="1:1" x14ac:dyDescent="0.2">
      <c r="A677" t="s">
        <v>350</v>
      </c>
    </row>
    <row r="678" spans="1:1" x14ac:dyDescent="0.2">
      <c r="A678" t="s">
        <v>292</v>
      </c>
    </row>
    <row r="679" spans="1:1" x14ac:dyDescent="0.2">
      <c r="A679" t="s">
        <v>266</v>
      </c>
    </row>
    <row r="680" spans="1:1" x14ac:dyDescent="0.2">
      <c r="A680" t="s">
        <v>351</v>
      </c>
    </row>
    <row r="681" spans="1:1" x14ac:dyDescent="0.2">
      <c r="A681" t="s">
        <v>280</v>
      </c>
    </row>
    <row r="682" spans="1:1" x14ac:dyDescent="0.2">
      <c r="A682" t="s">
        <v>352</v>
      </c>
    </row>
    <row r="683" spans="1:1" x14ac:dyDescent="0.2">
      <c r="A683" t="s">
        <v>251</v>
      </c>
    </row>
    <row r="684" spans="1:1" x14ac:dyDescent="0.2">
      <c r="A684" t="s">
        <v>250</v>
      </c>
    </row>
    <row r="685" spans="1:1" x14ac:dyDescent="0.2">
      <c r="A685" t="s">
        <v>285</v>
      </c>
    </row>
    <row r="686" spans="1:1" x14ac:dyDescent="0.2">
      <c r="A686" t="s">
        <v>267</v>
      </c>
    </row>
    <row r="687" spans="1:1" x14ac:dyDescent="0.2">
      <c r="A687" t="s">
        <v>353</v>
      </c>
    </row>
    <row r="688" spans="1:1" x14ac:dyDescent="0.2">
      <c r="A688" t="s">
        <v>354</v>
      </c>
    </row>
    <row r="689" spans="1:1" x14ac:dyDescent="0.2">
      <c r="A689" t="s">
        <v>355</v>
      </c>
    </row>
    <row r="690" spans="1:1" x14ac:dyDescent="0.2">
      <c r="A690" t="s">
        <v>286</v>
      </c>
    </row>
    <row r="691" spans="1:1" x14ac:dyDescent="0.2">
      <c r="A691" t="s">
        <v>356</v>
      </c>
    </row>
    <row r="692" spans="1:1" x14ac:dyDescent="0.2">
      <c r="A692" t="s">
        <v>357</v>
      </c>
    </row>
    <row r="693" spans="1:1" x14ac:dyDescent="0.2">
      <c r="A693" t="s">
        <v>358</v>
      </c>
    </row>
    <row r="694" spans="1:1" x14ac:dyDescent="0.2">
      <c r="A694" t="s">
        <v>278</v>
      </c>
    </row>
    <row r="695" spans="1:1" x14ac:dyDescent="0.2">
      <c r="A695" t="s">
        <v>243</v>
      </c>
    </row>
    <row r="696" spans="1:1" x14ac:dyDescent="0.2">
      <c r="A696" t="s">
        <v>289</v>
      </c>
    </row>
    <row r="697" spans="1:1" x14ac:dyDescent="0.2">
      <c r="A697" t="s">
        <v>359</v>
      </c>
    </row>
    <row r="698" spans="1:1" x14ac:dyDescent="0.2">
      <c r="A698" t="s">
        <v>249</v>
      </c>
    </row>
    <row r="699" spans="1:1" x14ac:dyDescent="0.2">
      <c r="A699" t="s">
        <v>275</v>
      </c>
    </row>
    <row r="700" spans="1:1" x14ac:dyDescent="0.2">
      <c r="A700" t="s">
        <v>246</v>
      </c>
    </row>
    <row r="701" spans="1:1" x14ac:dyDescent="0.2">
      <c r="A701" t="s">
        <v>262</v>
      </c>
    </row>
    <row r="702" spans="1:1" x14ac:dyDescent="0.2">
      <c r="A702" t="s">
        <v>277</v>
      </c>
    </row>
    <row r="703" spans="1:1" x14ac:dyDescent="0.2">
      <c r="A703" t="s">
        <v>283</v>
      </c>
    </row>
    <row r="704" spans="1:1" x14ac:dyDescent="0.2">
      <c r="A704" t="s">
        <v>360</v>
      </c>
    </row>
    <row r="705" spans="1:1" x14ac:dyDescent="0.2">
      <c r="A705" t="s">
        <v>265</v>
      </c>
    </row>
    <row r="706" spans="1:1" x14ac:dyDescent="0.2">
      <c r="A706" t="s">
        <v>361</v>
      </c>
    </row>
    <row r="707" spans="1:1" x14ac:dyDescent="0.2">
      <c r="A707" t="s">
        <v>362</v>
      </c>
    </row>
    <row r="708" spans="1:1" x14ac:dyDescent="0.2">
      <c r="A708" t="s">
        <v>363</v>
      </c>
    </row>
    <row r="709" spans="1:1" x14ac:dyDescent="0.2">
      <c r="A709" t="s">
        <v>364</v>
      </c>
    </row>
    <row r="710" spans="1:1" x14ac:dyDescent="0.2">
      <c r="A710" t="s">
        <v>291</v>
      </c>
    </row>
    <row r="711" spans="1:1" x14ac:dyDescent="0.2">
      <c r="A711" t="s">
        <v>365</v>
      </c>
    </row>
    <row r="712" spans="1:1" x14ac:dyDescent="0.2">
      <c r="A712" t="s">
        <v>366</v>
      </c>
    </row>
    <row r="713" spans="1:1" x14ac:dyDescent="0.2">
      <c r="A713" t="s">
        <v>367</v>
      </c>
    </row>
    <row r="714" spans="1:1" x14ac:dyDescent="0.2">
      <c r="A714" t="s">
        <v>368</v>
      </c>
    </row>
    <row r="715" spans="1:1" x14ac:dyDescent="0.2">
      <c r="A715" t="s">
        <v>369</v>
      </c>
    </row>
    <row r="716" spans="1:1" x14ac:dyDescent="0.2">
      <c r="A716" t="s">
        <v>270</v>
      </c>
    </row>
    <row r="717" spans="1:1" x14ac:dyDescent="0.2">
      <c r="A717" t="s">
        <v>259</v>
      </c>
    </row>
    <row r="718" spans="1:1" x14ac:dyDescent="0.2">
      <c r="A718" t="s">
        <v>271</v>
      </c>
    </row>
    <row r="719" spans="1:1" x14ac:dyDescent="0.2">
      <c r="A719" t="s">
        <v>276</v>
      </c>
    </row>
    <row r="720" spans="1:1" x14ac:dyDescent="0.2">
      <c r="A720" t="s">
        <v>254</v>
      </c>
    </row>
    <row r="722" spans="1:1" x14ac:dyDescent="0.2">
      <c r="A722" t="s">
        <v>370</v>
      </c>
    </row>
    <row r="725" spans="1:1" x14ac:dyDescent="0.2">
      <c r="A725" t="s">
        <v>371</v>
      </c>
    </row>
    <row r="727" spans="1:1" x14ac:dyDescent="0.2">
      <c r="A727" t="s">
        <v>372</v>
      </c>
    </row>
    <row r="729" spans="1:1" x14ac:dyDescent="0.2">
      <c r="A729" t="s">
        <v>373</v>
      </c>
    </row>
    <row r="730" spans="1:1" x14ac:dyDescent="0.2">
      <c r="A730" t="s">
        <v>374</v>
      </c>
    </row>
    <row r="731" spans="1:1" x14ac:dyDescent="0.2">
      <c r="A731" t="s">
        <v>375</v>
      </c>
    </row>
    <row r="733" spans="1:1" x14ac:dyDescent="0.2">
      <c r="A733" t="s">
        <v>376</v>
      </c>
    </row>
    <row r="734" spans="1:1" x14ac:dyDescent="0.2">
      <c r="A734" t="s">
        <v>377</v>
      </c>
    </row>
    <row r="736" spans="1:1" x14ac:dyDescent="0.2">
      <c r="A736" t="s">
        <v>86</v>
      </c>
    </row>
    <row r="737" spans="1:1" x14ac:dyDescent="0.2">
      <c r="A737" t="s">
        <v>87</v>
      </c>
    </row>
    <row r="738" spans="1:1" x14ac:dyDescent="0.2">
      <c r="A738" t="s">
        <v>88</v>
      </c>
    </row>
    <row r="740" spans="1:1" x14ac:dyDescent="0.2">
      <c r="A740" t="s">
        <v>89</v>
      </c>
    </row>
    <row r="741" spans="1:1" x14ac:dyDescent="0.2">
      <c r="A741" t="s">
        <v>90</v>
      </c>
    </row>
    <row r="743" spans="1:1" x14ac:dyDescent="0.2">
      <c r="A743" t="s">
        <v>6</v>
      </c>
    </row>
    <row r="744" spans="1:1" x14ac:dyDescent="0.2">
      <c r="A744" t="s">
        <v>91</v>
      </c>
    </row>
    <row r="746" spans="1:1" x14ac:dyDescent="0.2">
      <c r="A746" t="s">
        <v>92</v>
      </c>
    </row>
    <row r="747" spans="1:1" x14ac:dyDescent="0.2">
      <c r="A747" t="s">
        <v>93</v>
      </c>
    </row>
    <row r="749" spans="1:1" x14ac:dyDescent="0.2">
      <c r="A749" t="s">
        <v>94</v>
      </c>
    </row>
    <row r="750" spans="1:1" x14ac:dyDescent="0.2">
      <c r="A750" t="s">
        <v>95</v>
      </c>
    </row>
    <row r="752" spans="1:1" x14ac:dyDescent="0.2">
      <c r="A752" t="s">
        <v>7</v>
      </c>
    </row>
    <row r="753" spans="1:1" x14ac:dyDescent="0.2">
      <c r="A753" t="s">
        <v>96</v>
      </c>
    </row>
    <row r="755" spans="1:1" x14ac:dyDescent="0.2">
      <c r="A755" t="s">
        <v>97</v>
      </c>
    </row>
    <row r="756" spans="1:1" x14ac:dyDescent="0.2">
      <c r="A756" t="s">
        <v>97</v>
      </c>
    </row>
    <row r="758" spans="1:1" x14ac:dyDescent="0.2">
      <c r="A758" t="s">
        <v>98</v>
      </c>
    </row>
    <row r="759" spans="1:1" x14ac:dyDescent="0.2">
      <c r="A759" t="s">
        <v>98</v>
      </c>
    </row>
    <row r="761" spans="1:1" x14ac:dyDescent="0.2">
      <c r="A761" t="s">
        <v>99</v>
      </c>
    </row>
    <row r="762" spans="1:1" x14ac:dyDescent="0.2">
      <c r="A762" t="s">
        <v>100</v>
      </c>
    </row>
    <row r="764" spans="1:1" x14ac:dyDescent="0.2">
      <c r="A764" t="s">
        <v>101</v>
      </c>
    </row>
    <row r="765" spans="1:1" x14ac:dyDescent="0.2">
      <c r="A765" t="s">
        <v>102</v>
      </c>
    </row>
    <row r="767" spans="1:1" x14ac:dyDescent="0.2">
      <c r="A767" t="s">
        <v>3</v>
      </c>
    </row>
    <row r="768" spans="1:1" x14ac:dyDescent="0.2">
      <c r="A768" t="s">
        <v>103</v>
      </c>
    </row>
    <row r="770" spans="1:1" x14ac:dyDescent="0.2">
      <c r="A770" t="s">
        <v>104</v>
      </c>
    </row>
    <row r="771" spans="1:1" x14ac:dyDescent="0.2">
      <c r="A771" t="s">
        <v>105</v>
      </c>
    </row>
    <row r="773" spans="1:1" x14ac:dyDescent="0.2">
      <c r="A773" t="s">
        <v>106</v>
      </c>
    </row>
    <row r="775" spans="1:1" x14ac:dyDescent="0.2">
      <c r="A775" t="s">
        <v>107</v>
      </c>
    </row>
    <row r="776" spans="1:1" x14ac:dyDescent="0.2">
      <c r="A776" t="s">
        <v>108</v>
      </c>
    </row>
    <row r="778" spans="1:1" x14ac:dyDescent="0.2">
      <c r="A778" t="s">
        <v>109</v>
      </c>
    </row>
    <row r="779" spans="1:1" x14ac:dyDescent="0.2">
      <c r="A779" t="s">
        <v>110</v>
      </c>
    </row>
    <row r="781" spans="1:1" x14ac:dyDescent="0.2">
      <c r="A781" t="s">
        <v>111</v>
      </c>
    </row>
    <row r="783" spans="1:1" x14ac:dyDescent="0.2">
      <c r="A783" t="s">
        <v>112</v>
      </c>
    </row>
    <row r="784" spans="1:1" x14ac:dyDescent="0.2">
      <c r="A784" t="s">
        <v>113</v>
      </c>
    </row>
    <row r="786" spans="1:1" x14ac:dyDescent="0.2">
      <c r="A786" t="s">
        <v>114</v>
      </c>
    </row>
    <row r="787" spans="1:1" x14ac:dyDescent="0.2">
      <c r="A787" t="s">
        <v>115</v>
      </c>
    </row>
    <row r="789" spans="1:1" x14ac:dyDescent="0.2">
      <c r="A789" t="s">
        <v>116</v>
      </c>
    </row>
    <row r="790" spans="1:1" x14ac:dyDescent="0.2">
      <c r="A790" t="s">
        <v>117</v>
      </c>
    </row>
    <row r="792" spans="1:1" x14ac:dyDescent="0.2">
      <c r="A792" t="s">
        <v>118</v>
      </c>
    </row>
    <row r="793" spans="1:1" x14ac:dyDescent="0.2">
      <c r="A793" t="s">
        <v>119</v>
      </c>
    </row>
    <row r="795" spans="1:1" x14ac:dyDescent="0.2">
      <c r="A795" t="s">
        <v>120</v>
      </c>
    </row>
    <row r="796" spans="1:1" x14ac:dyDescent="0.2">
      <c r="A796" t="s">
        <v>121</v>
      </c>
    </row>
    <row r="798" spans="1:1" x14ac:dyDescent="0.2">
      <c r="A798" t="s">
        <v>122</v>
      </c>
    </row>
    <row r="799" spans="1:1" x14ac:dyDescent="0.2">
      <c r="A799" t="s">
        <v>123</v>
      </c>
    </row>
    <row r="801" spans="1:1" x14ac:dyDescent="0.2">
      <c r="A801" t="s">
        <v>124</v>
      </c>
    </row>
    <row r="802" spans="1:1" x14ac:dyDescent="0.2">
      <c r="A802" t="s">
        <v>125</v>
      </c>
    </row>
    <row r="804" spans="1:1" x14ac:dyDescent="0.2">
      <c r="A804" t="s">
        <v>126</v>
      </c>
    </row>
    <row r="805" spans="1:1" x14ac:dyDescent="0.2">
      <c r="A805" t="s">
        <v>127</v>
      </c>
    </row>
    <row r="807" spans="1:1" x14ac:dyDescent="0.2">
      <c r="A807" t="s">
        <v>128</v>
      </c>
    </row>
    <row r="809" spans="1:1" x14ac:dyDescent="0.2">
      <c r="A809" t="s">
        <v>129</v>
      </c>
    </row>
    <row r="810" spans="1:1" x14ac:dyDescent="0.2">
      <c r="A810" t="s">
        <v>130</v>
      </c>
    </row>
    <row r="812" spans="1:1" x14ac:dyDescent="0.2">
      <c r="A812" t="s">
        <v>131</v>
      </c>
    </row>
    <row r="813" spans="1:1" x14ac:dyDescent="0.2">
      <c r="A813" t="s">
        <v>132</v>
      </c>
    </row>
    <row r="815" spans="1:1" x14ac:dyDescent="0.2">
      <c r="A815" t="s">
        <v>133</v>
      </c>
    </row>
    <row r="816" spans="1:1" x14ac:dyDescent="0.2">
      <c r="A816" t="s">
        <v>134</v>
      </c>
    </row>
    <row r="818" spans="1:1" x14ac:dyDescent="0.2">
      <c r="A818" t="s">
        <v>135</v>
      </c>
    </row>
    <row r="819" spans="1:1" x14ac:dyDescent="0.2">
      <c r="A819" t="s">
        <v>136</v>
      </c>
    </row>
    <row r="821" spans="1:1" x14ac:dyDescent="0.2">
      <c r="A821" t="s">
        <v>137</v>
      </c>
    </row>
    <row r="822" spans="1:1" x14ac:dyDescent="0.2">
      <c r="A822" t="s">
        <v>138</v>
      </c>
    </row>
    <row r="824" spans="1:1" x14ac:dyDescent="0.2">
      <c r="A824" t="s">
        <v>139</v>
      </c>
    </row>
    <row r="825" spans="1:1" x14ac:dyDescent="0.2">
      <c r="A825" t="s">
        <v>140</v>
      </c>
    </row>
    <row r="827" spans="1:1" x14ac:dyDescent="0.2">
      <c r="A827" t="s">
        <v>141</v>
      </c>
    </row>
    <row r="828" spans="1:1" x14ac:dyDescent="0.2">
      <c r="A828" t="s">
        <v>142</v>
      </c>
    </row>
    <row r="830" spans="1:1" x14ac:dyDescent="0.2">
      <c r="A830" t="s">
        <v>143</v>
      </c>
    </row>
    <row r="831" spans="1:1" x14ac:dyDescent="0.2">
      <c r="A831" t="s">
        <v>144</v>
      </c>
    </row>
    <row r="833" spans="1:1" x14ac:dyDescent="0.2">
      <c r="A833" t="s">
        <v>145</v>
      </c>
    </row>
    <row r="834" spans="1:1" x14ac:dyDescent="0.2">
      <c r="A834" t="s">
        <v>146</v>
      </c>
    </row>
    <row r="836" spans="1:1" x14ac:dyDescent="0.2">
      <c r="A836" t="s">
        <v>147</v>
      </c>
    </row>
    <row r="837" spans="1:1" x14ac:dyDescent="0.2">
      <c r="A837" t="s">
        <v>148</v>
      </c>
    </row>
    <row r="839" spans="1:1" x14ac:dyDescent="0.2">
      <c r="A839" t="s">
        <v>149</v>
      </c>
    </row>
    <row r="840" spans="1:1" x14ac:dyDescent="0.2">
      <c r="A840" t="s">
        <v>150</v>
      </c>
    </row>
    <row r="842" spans="1:1" x14ac:dyDescent="0.2">
      <c r="A842" t="s">
        <v>151</v>
      </c>
    </row>
    <row r="843" spans="1:1" x14ac:dyDescent="0.2">
      <c r="A843" t="s">
        <v>152</v>
      </c>
    </row>
    <row r="845" spans="1:1" x14ac:dyDescent="0.2">
      <c r="A845" t="s">
        <v>153</v>
      </c>
    </row>
    <row r="846" spans="1:1" x14ac:dyDescent="0.2">
      <c r="A846" t="s">
        <v>154</v>
      </c>
    </row>
    <row r="848" spans="1:1" x14ac:dyDescent="0.2">
      <c r="A848" t="s">
        <v>155</v>
      </c>
    </row>
    <row r="849" spans="1:1" x14ac:dyDescent="0.2">
      <c r="A849" t="s">
        <v>156</v>
      </c>
    </row>
    <row r="851" spans="1:1" x14ac:dyDescent="0.2">
      <c r="A851" t="s">
        <v>157</v>
      </c>
    </row>
    <row r="852" spans="1:1" x14ac:dyDescent="0.2">
      <c r="A852" t="s">
        <v>158</v>
      </c>
    </row>
    <row r="854" spans="1:1" x14ac:dyDescent="0.2">
      <c r="A854" t="s">
        <v>159</v>
      </c>
    </row>
    <row r="855" spans="1:1" x14ac:dyDescent="0.2">
      <c r="A855" t="s">
        <v>160</v>
      </c>
    </row>
    <row r="857" spans="1:1" x14ac:dyDescent="0.2">
      <c r="A857" t="s">
        <v>161</v>
      </c>
    </row>
    <row r="858" spans="1:1" x14ac:dyDescent="0.2">
      <c r="A858" t="s">
        <v>162</v>
      </c>
    </row>
    <row r="860" spans="1:1" x14ac:dyDescent="0.2">
      <c r="A860" t="s">
        <v>163</v>
      </c>
    </row>
    <row r="861" spans="1:1" x14ac:dyDescent="0.2">
      <c r="A861" t="s">
        <v>164</v>
      </c>
    </row>
    <row r="863" spans="1:1" x14ac:dyDescent="0.2">
      <c r="A863" t="s">
        <v>165</v>
      </c>
    </row>
    <row r="864" spans="1:1" x14ac:dyDescent="0.2">
      <c r="A864" t="s">
        <v>166</v>
      </c>
    </row>
    <row r="866" spans="1:1" x14ac:dyDescent="0.2">
      <c r="A866" t="s">
        <v>167</v>
      </c>
    </row>
    <row r="867" spans="1:1" x14ac:dyDescent="0.2">
      <c r="A867" t="s">
        <v>168</v>
      </c>
    </row>
    <row r="869" spans="1:1" x14ac:dyDescent="0.2">
      <c r="A869" t="s">
        <v>169</v>
      </c>
    </row>
    <row r="870" spans="1:1" x14ac:dyDescent="0.2">
      <c r="A870" t="s">
        <v>170</v>
      </c>
    </row>
    <row r="872" spans="1:1" x14ac:dyDescent="0.2">
      <c r="A872" t="s">
        <v>171</v>
      </c>
    </row>
    <row r="873" spans="1:1" x14ac:dyDescent="0.2">
      <c r="A873" t="s">
        <v>172</v>
      </c>
    </row>
    <row r="875" spans="1:1" x14ac:dyDescent="0.2">
      <c r="A875" t="s">
        <v>173</v>
      </c>
    </row>
    <row r="876" spans="1:1" x14ac:dyDescent="0.2">
      <c r="A876" t="s">
        <v>174</v>
      </c>
    </row>
    <row r="878" spans="1:1" x14ac:dyDescent="0.2">
      <c r="A878" t="s">
        <v>175</v>
      </c>
    </row>
    <row r="879" spans="1:1" x14ac:dyDescent="0.2">
      <c r="A879" t="s">
        <v>176</v>
      </c>
    </row>
    <row r="881" spans="1:1" x14ac:dyDescent="0.2">
      <c r="A881" t="s">
        <v>177</v>
      </c>
    </row>
    <row r="882" spans="1:1" x14ac:dyDescent="0.2">
      <c r="A882" t="s">
        <v>178</v>
      </c>
    </row>
    <row r="884" spans="1:1" x14ac:dyDescent="0.2">
      <c r="A884" t="s">
        <v>179</v>
      </c>
    </row>
    <row r="885" spans="1:1" x14ac:dyDescent="0.2">
      <c r="A885" t="s">
        <v>180</v>
      </c>
    </row>
    <row r="887" spans="1:1" x14ac:dyDescent="0.2">
      <c r="A887" t="s">
        <v>181</v>
      </c>
    </row>
    <row r="888" spans="1:1" x14ac:dyDescent="0.2">
      <c r="A888" t="s">
        <v>182</v>
      </c>
    </row>
    <row r="890" spans="1:1" x14ac:dyDescent="0.2">
      <c r="A890" t="s">
        <v>183</v>
      </c>
    </row>
    <row r="891" spans="1:1" x14ac:dyDescent="0.2">
      <c r="A891" t="s">
        <v>184</v>
      </c>
    </row>
    <row r="893" spans="1:1" x14ac:dyDescent="0.2">
      <c r="A893" t="s">
        <v>185</v>
      </c>
    </row>
    <row r="894" spans="1:1" x14ac:dyDescent="0.2">
      <c r="A894" t="s">
        <v>186</v>
      </c>
    </row>
    <row r="896" spans="1:1" x14ac:dyDescent="0.2">
      <c r="A896" t="s">
        <v>187</v>
      </c>
    </row>
    <row r="897" spans="1:1" x14ac:dyDescent="0.2">
      <c r="A897" t="s">
        <v>188</v>
      </c>
    </row>
    <row r="899" spans="1:1" x14ac:dyDescent="0.2">
      <c r="A899" t="s">
        <v>189</v>
      </c>
    </row>
    <row r="900" spans="1:1" x14ac:dyDescent="0.2">
      <c r="A900" t="s">
        <v>190</v>
      </c>
    </row>
    <row r="902" spans="1:1" x14ac:dyDescent="0.2">
      <c r="A902" t="s">
        <v>191</v>
      </c>
    </row>
    <row r="903" spans="1:1" x14ac:dyDescent="0.2">
      <c r="A903" t="s">
        <v>192</v>
      </c>
    </row>
    <row r="905" spans="1:1" x14ac:dyDescent="0.2">
      <c r="A905" t="s">
        <v>193</v>
      </c>
    </row>
    <row r="906" spans="1:1" x14ac:dyDescent="0.2">
      <c r="A906" t="s">
        <v>194</v>
      </c>
    </row>
    <row r="908" spans="1:1" x14ac:dyDescent="0.2">
      <c r="A908" t="s">
        <v>195</v>
      </c>
    </row>
    <row r="909" spans="1:1" x14ac:dyDescent="0.2">
      <c r="A909" t="s">
        <v>196</v>
      </c>
    </row>
    <row r="911" spans="1:1" x14ac:dyDescent="0.2">
      <c r="A911" t="s">
        <v>197</v>
      </c>
    </row>
    <row r="912" spans="1:1" x14ac:dyDescent="0.2">
      <c r="A912" t="s">
        <v>198</v>
      </c>
    </row>
    <row r="914" spans="1:1" x14ac:dyDescent="0.2">
      <c r="A914" t="s">
        <v>199</v>
      </c>
    </row>
    <row r="915" spans="1:1" x14ac:dyDescent="0.2">
      <c r="A915" t="s">
        <v>200</v>
      </c>
    </row>
    <row r="917" spans="1:1" x14ac:dyDescent="0.2">
      <c r="A917" t="s">
        <v>201</v>
      </c>
    </row>
    <row r="918" spans="1:1" x14ac:dyDescent="0.2">
      <c r="A918" t="s">
        <v>202</v>
      </c>
    </row>
    <row r="920" spans="1:1" x14ac:dyDescent="0.2">
      <c r="A920" t="s">
        <v>203</v>
      </c>
    </row>
    <row r="921" spans="1:1" x14ac:dyDescent="0.2">
      <c r="A921" t="s">
        <v>204</v>
      </c>
    </row>
    <row r="923" spans="1:1" x14ac:dyDescent="0.2">
      <c r="A923" t="s">
        <v>205</v>
      </c>
    </row>
    <row r="925" spans="1:1" x14ac:dyDescent="0.2">
      <c r="A925" t="s">
        <v>206</v>
      </c>
    </row>
    <row r="926" spans="1:1" x14ac:dyDescent="0.2">
      <c r="A926" t="s">
        <v>207</v>
      </c>
    </row>
    <row r="928" spans="1:1" x14ac:dyDescent="0.2">
      <c r="A928" t="s">
        <v>208</v>
      </c>
    </row>
    <row r="929" spans="1:1" x14ac:dyDescent="0.2">
      <c r="A929" t="s">
        <v>209</v>
      </c>
    </row>
    <row r="931" spans="1:1" x14ac:dyDescent="0.2">
      <c r="A931" t="s">
        <v>375</v>
      </c>
    </row>
    <row r="933" spans="1:1" x14ac:dyDescent="0.2">
      <c r="A933" t="s">
        <v>9</v>
      </c>
    </row>
    <row r="935" spans="1:1" x14ac:dyDescent="0.2">
      <c r="A935" t="s">
        <v>378</v>
      </c>
    </row>
    <row r="937" spans="1:1" x14ac:dyDescent="0.2">
      <c r="A937" t="s">
        <v>379</v>
      </c>
    </row>
    <row r="939" spans="1:1" x14ac:dyDescent="0.2">
      <c r="A939" t="s">
        <v>380</v>
      </c>
    </row>
    <row r="941" spans="1:1" x14ac:dyDescent="0.2">
      <c r="A941" t="s">
        <v>381</v>
      </c>
    </row>
    <row r="943" spans="1:1" x14ac:dyDescent="0.2">
      <c r="A943" t="s">
        <v>382</v>
      </c>
    </row>
    <row r="944" spans="1:1" x14ac:dyDescent="0.2">
      <c r="A944" t="s">
        <v>383</v>
      </c>
    </row>
    <row r="945" spans="1:10" x14ac:dyDescent="0.2">
      <c r="A945" t="s">
        <v>371</v>
      </c>
    </row>
    <row r="947" spans="1:10" x14ac:dyDescent="0.2">
      <c r="A947" t="s">
        <v>384</v>
      </c>
    </row>
    <row r="949" spans="1:10" x14ac:dyDescent="0.2">
      <c r="A949" t="s">
        <v>385</v>
      </c>
    </row>
    <row r="950" spans="1:10" x14ac:dyDescent="0.2">
      <c r="A950" t="s">
        <v>371</v>
      </c>
    </row>
    <row r="952" spans="1:10" x14ac:dyDescent="0.2">
      <c r="A952" t="s">
        <v>386</v>
      </c>
    </row>
    <row r="953" spans="1:10" x14ac:dyDescent="0.2">
      <c r="D953" s="4"/>
      <c r="E953" s="5"/>
      <c r="F953" s="5"/>
      <c r="G953" s="5"/>
      <c r="H953" s="4"/>
      <c r="I953" s="4"/>
    </row>
    <row r="954" spans="1:10" x14ac:dyDescent="0.2">
      <c r="A954" t="s">
        <v>387</v>
      </c>
      <c r="E954" s="5"/>
      <c r="F954" s="5"/>
      <c r="G954" s="5"/>
    </row>
    <row r="955" spans="1:10" x14ac:dyDescent="0.2">
      <c r="A955" t="s">
        <v>388</v>
      </c>
      <c r="D955" s="6"/>
      <c r="E955" s="5"/>
      <c r="F955" s="5"/>
      <c r="G955" s="5"/>
      <c r="H955" s="4"/>
      <c r="I955" s="4"/>
    </row>
    <row r="956" spans="1:10" x14ac:dyDescent="0.2">
      <c r="A956" t="s">
        <v>389</v>
      </c>
      <c r="E956" s="5"/>
      <c r="F956" s="5"/>
      <c r="G956" s="5"/>
    </row>
    <row r="957" spans="1:10" x14ac:dyDescent="0.2">
      <c r="B957" t="s">
        <v>390</v>
      </c>
      <c r="C957" t="s">
        <v>0</v>
      </c>
      <c r="D957" s="6" t="s">
        <v>8</v>
      </c>
      <c r="E957" s="5" t="s">
        <v>391</v>
      </c>
      <c r="F957" s="5" t="s">
        <v>392</v>
      </c>
      <c r="G957" s="5" t="s">
        <v>393</v>
      </c>
      <c r="H957" s="4" t="s">
        <v>394</v>
      </c>
      <c r="I957" s="4" t="s">
        <v>395</v>
      </c>
      <c r="J957" t="s">
        <v>396</v>
      </c>
    </row>
    <row r="958" spans="1:10" x14ac:dyDescent="0.2">
      <c r="B958">
        <v>1</v>
      </c>
      <c r="C958" t="s">
        <v>397</v>
      </c>
      <c r="D958" t="s">
        <v>1725</v>
      </c>
      <c r="E958" s="5">
        <v>0</v>
      </c>
      <c r="F958" s="5">
        <v>-1.7000000000000001E-2</v>
      </c>
      <c r="G958" s="5">
        <v>2.1999999999999999E-2</v>
      </c>
      <c r="H958" t="s">
        <v>1726</v>
      </c>
      <c r="I958" t="s">
        <v>1727</v>
      </c>
      <c r="J958" t="s">
        <v>399</v>
      </c>
    </row>
    <row r="959" spans="1:10" x14ac:dyDescent="0.2">
      <c r="C959" t="s">
        <v>398</v>
      </c>
      <c r="D959" s="6"/>
      <c r="E959" s="5"/>
      <c r="F959" s="5"/>
      <c r="G959" s="5"/>
      <c r="H959" s="4"/>
      <c r="I959" s="4"/>
    </row>
    <row r="960" spans="1:10" x14ac:dyDescent="0.2">
      <c r="B960">
        <v>2</v>
      </c>
      <c r="C960" t="s">
        <v>400</v>
      </c>
      <c r="D960" t="s">
        <v>1728</v>
      </c>
      <c r="E960" s="5">
        <v>3.0000000000000001E-3</v>
      </c>
      <c r="F960" s="5">
        <v>-1.7999999999999999E-2</v>
      </c>
      <c r="G960" s="5">
        <v>2.9000000000000001E-2</v>
      </c>
      <c r="H960" t="s">
        <v>1729</v>
      </c>
      <c r="I960" t="s">
        <v>1730</v>
      </c>
      <c r="J960" t="s">
        <v>402</v>
      </c>
    </row>
    <row r="961" spans="2:10" x14ac:dyDescent="0.2">
      <c r="C961" t="s">
        <v>401</v>
      </c>
      <c r="D961" s="6"/>
      <c r="E961" s="5"/>
      <c r="F961" s="5"/>
      <c r="G961" s="5"/>
      <c r="H961" s="4"/>
      <c r="I961" s="4"/>
    </row>
    <row r="962" spans="2:10" x14ac:dyDescent="0.2">
      <c r="B962">
        <v>3</v>
      </c>
      <c r="C962" t="s">
        <v>409</v>
      </c>
      <c r="D962" t="s">
        <v>965</v>
      </c>
      <c r="E962" s="5">
        <v>2E-3</v>
      </c>
      <c r="F962" s="5">
        <v>1E-3</v>
      </c>
      <c r="G962" s="5">
        <v>1.2E-2</v>
      </c>
      <c r="H962" t="s">
        <v>1731</v>
      </c>
      <c r="I962" t="s">
        <v>1732</v>
      </c>
      <c r="J962" t="s">
        <v>411</v>
      </c>
    </row>
    <row r="963" spans="2:10" x14ac:dyDescent="0.2">
      <c r="C963" t="s">
        <v>410</v>
      </c>
      <c r="D963" s="6"/>
      <c r="E963" s="5"/>
      <c r="F963" s="5"/>
      <c r="G963" s="5"/>
      <c r="H963" s="4"/>
      <c r="I963" s="4"/>
    </row>
    <row r="964" spans="2:10" x14ac:dyDescent="0.2">
      <c r="B964">
        <v>4</v>
      </c>
      <c r="C964" t="s">
        <v>403</v>
      </c>
      <c r="D964" t="s">
        <v>1733</v>
      </c>
      <c r="E964" s="5">
        <v>5.0000000000000001E-3</v>
      </c>
      <c r="F964" s="5">
        <v>-1.6E-2</v>
      </c>
      <c r="G964" s="5">
        <v>3.9E-2</v>
      </c>
      <c r="H964" t="s">
        <v>1734</v>
      </c>
      <c r="I964" t="s">
        <v>1419</v>
      </c>
      <c r="J964" t="s">
        <v>405</v>
      </c>
    </row>
    <row r="965" spans="2:10" x14ac:dyDescent="0.2">
      <c r="C965" t="s">
        <v>404</v>
      </c>
      <c r="D965" s="6"/>
      <c r="E965" s="5"/>
      <c r="F965" s="5"/>
      <c r="G965" s="5"/>
      <c r="H965" s="4"/>
      <c r="I965" s="4"/>
    </row>
    <row r="966" spans="2:10" x14ac:dyDescent="0.2">
      <c r="B966">
        <v>5</v>
      </c>
      <c r="C966" t="s">
        <v>406</v>
      </c>
      <c r="D966" t="s">
        <v>1735</v>
      </c>
      <c r="E966" s="5">
        <v>-3.0000000000000001E-3</v>
      </c>
      <c r="F966" s="5">
        <v>7.4999999999999997E-2</v>
      </c>
      <c r="G966" s="5">
        <v>5.8000000000000003E-2</v>
      </c>
      <c r="H966" t="s">
        <v>1736</v>
      </c>
      <c r="I966" t="s">
        <v>1737</v>
      </c>
      <c r="J966" t="s">
        <v>408</v>
      </c>
    </row>
    <row r="967" spans="2:10" x14ac:dyDescent="0.2">
      <c r="C967" t="s">
        <v>407</v>
      </c>
      <c r="D967" s="6"/>
      <c r="E967" s="5"/>
      <c r="F967" s="5"/>
      <c r="G967" s="5"/>
      <c r="H967" s="4"/>
      <c r="I967" s="4"/>
    </row>
    <row r="968" spans="2:10" x14ac:dyDescent="0.2">
      <c r="B968">
        <v>6</v>
      </c>
      <c r="C968" t="s">
        <v>412</v>
      </c>
      <c r="D968" t="s">
        <v>1738</v>
      </c>
      <c r="E968" s="5">
        <v>-1E-3</v>
      </c>
      <c r="F968" s="5">
        <v>3.0000000000000001E-3</v>
      </c>
      <c r="G968" s="5">
        <v>5.8000000000000003E-2</v>
      </c>
      <c r="H968" t="s">
        <v>1739</v>
      </c>
      <c r="I968" t="s">
        <v>1740</v>
      </c>
      <c r="J968" t="s">
        <v>414</v>
      </c>
    </row>
    <row r="969" spans="2:10" x14ac:dyDescent="0.2">
      <c r="C969" t="s">
        <v>413</v>
      </c>
      <c r="D969" s="6"/>
      <c r="E969" s="5"/>
      <c r="F969" s="5"/>
      <c r="G969" s="5"/>
      <c r="H969" s="4"/>
      <c r="I969" s="4"/>
    </row>
    <row r="970" spans="2:10" x14ac:dyDescent="0.2">
      <c r="B970">
        <v>7</v>
      </c>
      <c r="C970" t="s">
        <v>415</v>
      </c>
      <c r="D970" t="s">
        <v>1741</v>
      </c>
      <c r="E970" s="5">
        <v>7.0000000000000001E-3</v>
      </c>
      <c r="F970" s="5">
        <v>3.0000000000000001E-3</v>
      </c>
      <c r="G970" s="5">
        <v>8.4000000000000005E-2</v>
      </c>
      <c r="H970" t="s">
        <v>1742</v>
      </c>
      <c r="I970" t="s">
        <v>1743</v>
      </c>
      <c r="J970" t="s">
        <v>417</v>
      </c>
    </row>
    <row r="971" spans="2:10" x14ac:dyDescent="0.2">
      <c r="C971" t="s">
        <v>416</v>
      </c>
      <c r="D971" s="6"/>
      <c r="E971" s="5"/>
      <c r="F971" s="5"/>
      <c r="G971" s="5"/>
      <c r="H971" s="4"/>
      <c r="I971" s="4"/>
    </row>
    <row r="972" spans="2:10" x14ac:dyDescent="0.2">
      <c r="B972">
        <v>8</v>
      </c>
      <c r="C972" t="s">
        <v>424</v>
      </c>
      <c r="D972" t="s">
        <v>1411</v>
      </c>
      <c r="E972" s="5">
        <v>4.0000000000000001E-3</v>
      </c>
      <c r="F972" s="5">
        <v>3.0000000000000001E-3</v>
      </c>
      <c r="G972" s="5">
        <v>0.01</v>
      </c>
      <c r="H972" t="s">
        <v>1744</v>
      </c>
      <c r="I972" t="s">
        <v>1420</v>
      </c>
      <c r="J972" t="s">
        <v>426</v>
      </c>
    </row>
    <row r="973" spans="2:10" x14ac:dyDescent="0.2">
      <c r="C973" t="s">
        <v>425</v>
      </c>
      <c r="D973" s="6"/>
      <c r="E973" s="5"/>
      <c r="F973" s="5"/>
      <c r="G973" s="5"/>
      <c r="H973" s="4"/>
      <c r="I973" s="4"/>
    </row>
    <row r="974" spans="2:10" x14ac:dyDescent="0.2">
      <c r="B974">
        <v>9</v>
      </c>
      <c r="C974" t="s">
        <v>421</v>
      </c>
      <c r="D974" t="s">
        <v>1745</v>
      </c>
      <c r="E974" s="5">
        <v>-5.0000000000000001E-3</v>
      </c>
      <c r="F974" s="5">
        <v>-8.9999999999999993E-3</v>
      </c>
      <c r="G974" s="5">
        <v>2.8000000000000001E-2</v>
      </c>
      <c r="H974" t="s">
        <v>1746</v>
      </c>
      <c r="I974" t="s">
        <v>1747</v>
      </c>
      <c r="J974" t="s">
        <v>423</v>
      </c>
    </row>
    <row r="975" spans="2:10" x14ac:dyDescent="0.2">
      <c r="C975" t="s">
        <v>422</v>
      </c>
      <c r="D975" s="6"/>
      <c r="E975" s="5"/>
      <c r="F975" s="5"/>
      <c r="G975" s="5"/>
      <c r="H975" s="4"/>
      <c r="I975" s="4"/>
    </row>
    <row r="976" spans="2:10" x14ac:dyDescent="0.2">
      <c r="B976">
        <v>10</v>
      </c>
      <c r="C976" t="s">
        <v>418</v>
      </c>
      <c r="D976" t="s">
        <v>1748</v>
      </c>
      <c r="E976" s="5">
        <v>-2E-3</v>
      </c>
      <c r="F976" s="5">
        <v>-1.7999999999999999E-2</v>
      </c>
      <c r="G976" s="5">
        <v>-1.2E-2</v>
      </c>
      <c r="H976" t="s">
        <v>1749</v>
      </c>
      <c r="I976" t="s">
        <v>1421</v>
      </c>
      <c r="J976" t="s">
        <v>420</v>
      </c>
    </row>
    <row r="977" spans="2:10" x14ac:dyDescent="0.2">
      <c r="C977" t="s">
        <v>419</v>
      </c>
      <c r="D977" s="6"/>
      <c r="E977" s="5"/>
      <c r="F977" s="5"/>
      <c r="G977" s="5"/>
      <c r="H977" s="4"/>
      <c r="I977" s="4"/>
    </row>
    <row r="978" spans="2:10" x14ac:dyDescent="0.2">
      <c r="B978">
        <v>11</v>
      </c>
      <c r="C978" t="s">
        <v>451</v>
      </c>
      <c r="D978" t="s">
        <v>1750</v>
      </c>
      <c r="E978" s="5">
        <v>4.0000000000000001E-3</v>
      </c>
      <c r="F978" s="5">
        <v>-6.0000000000000001E-3</v>
      </c>
      <c r="G978" s="5">
        <v>9.8000000000000004E-2</v>
      </c>
      <c r="H978" t="s">
        <v>1751</v>
      </c>
      <c r="I978" t="s">
        <v>1752</v>
      </c>
      <c r="J978" t="s">
        <v>453</v>
      </c>
    </row>
    <row r="979" spans="2:10" x14ac:dyDescent="0.2">
      <c r="C979" t="s">
        <v>452</v>
      </c>
      <c r="D979" s="6"/>
      <c r="E979" s="5"/>
      <c r="F979" s="5"/>
      <c r="G979" s="5"/>
      <c r="H979" s="4"/>
      <c r="I979" s="4"/>
    </row>
    <row r="980" spans="2:10" x14ac:dyDescent="0.2">
      <c r="B980">
        <v>12</v>
      </c>
      <c r="C980" t="s">
        <v>442</v>
      </c>
      <c r="D980" t="s">
        <v>965</v>
      </c>
      <c r="E980" s="5">
        <v>1E-3</v>
      </c>
      <c r="F980" s="5">
        <v>0</v>
      </c>
      <c r="G980" s="5">
        <v>3.0000000000000001E-3</v>
      </c>
      <c r="H980" t="s">
        <v>1753</v>
      </c>
      <c r="I980" t="s">
        <v>1422</v>
      </c>
      <c r="J980" t="s">
        <v>444</v>
      </c>
    </row>
    <row r="981" spans="2:10" x14ac:dyDescent="0.2">
      <c r="C981" t="s">
        <v>443</v>
      </c>
      <c r="D981" s="6"/>
      <c r="E981" s="5"/>
      <c r="F981" s="5"/>
      <c r="G981" s="5"/>
      <c r="H981" s="4"/>
      <c r="I981" s="4"/>
    </row>
    <row r="982" spans="2:10" x14ac:dyDescent="0.2">
      <c r="B982">
        <v>13</v>
      </c>
      <c r="C982" t="s">
        <v>439</v>
      </c>
      <c r="D982" t="s">
        <v>1754</v>
      </c>
      <c r="E982" s="5">
        <v>-2E-3</v>
      </c>
      <c r="F982" s="5">
        <v>-2.5999999999999999E-2</v>
      </c>
      <c r="G982" s="5">
        <v>0.34399999999999997</v>
      </c>
      <c r="H982" t="s">
        <v>1755</v>
      </c>
      <c r="I982" t="s">
        <v>1423</v>
      </c>
      <c r="J982" t="s">
        <v>441</v>
      </c>
    </row>
    <row r="983" spans="2:10" x14ac:dyDescent="0.2">
      <c r="C983" t="s">
        <v>440</v>
      </c>
      <c r="D983" s="6"/>
      <c r="E983" s="5"/>
      <c r="F983" s="5"/>
      <c r="G983" s="5"/>
      <c r="H983" s="4"/>
      <c r="I983" s="4"/>
    </row>
    <row r="984" spans="2:10" x14ac:dyDescent="0.2">
      <c r="B984">
        <v>14</v>
      </c>
      <c r="C984" t="s">
        <v>427</v>
      </c>
      <c r="D984" t="s">
        <v>1756</v>
      </c>
      <c r="E984" s="5">
        <v>-1.6E-2</v>
      </c>
      <c r="F984" s="5">
        <v>-5.8999999999999997E-2</v>
      </c>
      <c r="G984" s="5">
        <v>0.2</v>
      </c>
      <c r="H984" t="s">
        <v>1757</v>
      </c>
      <c r="I984" t="s">
        <v>1758</v>
      </c>
      <c r="J984" t="s">
        <v>429</v>
      </c>
    </row>
    <row r="985" spans="2:10" x14ac:dyDescent="0.2">
      <c r="C985" t="s">
        <v>428</v>
      </c>
      <c r="D985" s="6"/>
      <c r="E985" s="5"/>
      <c r="F985" s="5"/>
      <c r="G985" s="5"/>
      <c r="H985" s="4"/>
      <c r="I985" s="4"/>
    </row>
    <row r="986" spans="2:10" x14ac:dyDescent="0.2">
      <c r="B986">
        <v>15</v>
      </c>
      <c r="C986" t="s">
        <v>433</v>
      </c>
      <c r="D986" t="s">
        <v>1759</v>
      </c>
      <c r="E986" s="5">
        <v>-2E-3</v>
      </c>
      <c r="F986" s="5">
        <v>-8.9999999999999993E-3</v>
      </c>
      <c r="G986" s="5">
        <v>5.6000000000000001E-2</v>
      </c>
      <c r="H986" t="s">
        <v>1760</v>
      </c>
      <c r="I986" t="s">
        <v>1424</v>
      </c>
      <c r="J986" t="s">
        <v>435</v>
      </c>
    </row>
    <row r="987" spans="2:10" x14ac:dyDescent="0.2">
      <c r="C987" t="s">
        <v>434</v>
      </c>
      <c r="D987" s="6"/>
      <c r="E987" s="5"/>
      <c r="F987" s="5"/>
      <c r="G987" s="5"/>
      <c r="H987" s="4"/>
      <c r="I987" s="4"/>
    </row>
    <row r="988" spans="2:10" x14ac:dyDescent="0.2">
      <c r="B988">
        <v>16</v>
      </c>
      <c r="C988" t="s">
        <v>430</v>
      </c>
      <c r="D988" t="s">
        <v>1761</v>
      </c>
      <c r="E988" s="5">
        <v>-6.0000000000000001E-3</v>
      </c>
      <c r="F988" s="5">
        <v>-5.0000000000000001E-3</v>
      </c>
      <c r="G988" s="5">
        <v>-2.1000000000000001E-2</v>
      </c>
      <c r="H988" t="s">
        <v>1762</v>
      </c>
      <c r="I988" t="s">
        <v>1763</v>
      </c>
      <c r="J988" t="s">
        <v>432</v>
      </c>
    </row>
    <row r="989" spans="2:10" x14ac:dyDescent="0.2">
      <c r="C989" t="s">
        <v>431</v>
      </c>
      <c r="D989" s="6"/>
      <c r="E989" s="5"/>
      <c r="F989" s="5"/>
      <c r="G989" s="5"/>
      <c r="H989" s="4"/>
      <c r="I989" s="4"/>
    </row>
    <row r="990" spans="2:10" x14ac:dyDescent="0.2">
      <c r="B990">
        <v>17</v>
      </c>
      <c r="C990" t="s">
        <v>529</v>
      </c>
      <c r="D990" t="s">
        <v>1617</v>
      </c>
      <c r="E990" s="5">
        <v>3.0000000000000001E-3</v>
      </c>
      <c r="F990" s="5">
        <v>-3.5000000000000003E-2</v>
      </c>
      <c r="G990" s="5">
        <v>6.0000000000000001E-3</v>
      </c>
      <c r="H990" t="s">
        <v>1764</v>
      </c>
      <c r="I990" t="s">
        <v>1765</v>
      </c>
      <c r="J990" t="s">
        <v>531</v>
      </c>
    </row>
    <row r="991" spans="2:10" x14ac:dyDescent="0.2">
      <c r="C991" t="s">
        <v>530</v>
      </c>
      <c r="D991" s="4"/>
      <c r="E991" s="5"/>
      <c r="F991" s="5"/>
      <c r="G991" s="5"/>
      <c r="H991" s="4"/>
      <c r="I991" s="4"/>
    </row>
    <row r="992" spans="2:10" x14ac:dyDescent="0.2">
      <c r="B992">
        <v>18</v>
      </c>
      <c r="C992" t="s">
        <v>478</v>
      </c>
      <c r="D992" t="s">
        <v>1766</v>
      </c>
      <c r="E992" s="5">
        <v>-8.0000000000000002E-3</v>
      </c>
      <c r="F992" s="5">
        <v>-4.9000000000000002E-2</v>
      </c>
      <c r="G992" s="5">
        <v>0.109</v>
      </c>
      <c r="H992" t="s">
        <v>1767</v>
      </c>
      <c r="I992" t="s">
        <v>1425</v>
      </c>
      <c r="J992" t="s">
        <v>480</v>
      </c>
    </row>
    <row r="993" spans="2:10" x14ac:dyDescent="0.2">
      <c r="C993" t="s">
        <v>479</v>
      </c>
      <c r="D993" s="6"/>
      <c r="E993" s="5"/>
      <c r="F993" s="5"/>
      <c r="G993" s="5"/>
      <c r="H993" s="4"/>
      <c r="I993" s="4"/>
    </row>
    <row r="994" spans="2:10" x14ac:dyDescent="0.2">
      <c r="B994">
        <v>19</v>
      </c>
      <c r="C994" t="s">
        <v>436</v>
      </c>
      <c r="D994" t="s">
        <v>1768</v>
      </c>
      <c r="E994" s="5">
        <v>-1E-3</v>
      </c>
      <c r="F994" s="5">
        <v>-2.1000000000000001E-2</v>
      </c>
      <c r="G994" s="5">
        <v>-4.9000000000000002E-2</v>
      </c>
      <c r="H994" t="s">
        <v>1769</v>
      </c>
      <c r="I994" t="s">
        <v>1426</v>
      </c>
      <c r="J994" t="s">
        <v>438</v>
      </c>
    </row>
    <row r="995" spans="2:10" x14ac:dyDescent="0.2">
      <c r="C995" t="s">
        <v>437</v>
      </c>
      <c r="D995" s="6"/>
      <c r="E995" s="5"/>
      <c r="F995" s="5"/>
      <c r="G995" s="5"/>
      <c r="H995" s="4"/>
      <c r="I995" s="4"/>
    </row>
    <row r="996" spans="2:10" x14ac:dyDescent="0.2">
      <c r="B996">
        <v>20</v>
      </c>
      <c r="C996" t="s">
        <v>454</v>
      </c>
      <c r="D996" t="s">
        <v>1770</v>
      </c>
      <c r="E996" s="5">
        <v>-2E-3</v>
      </c>
      <c r="F996" s="5">
        <v>-1.7999999999999999E-2</v>
      </c>
      <c r="G996" s="5">
        <v>1.9E-2</v>
      </c>
      <c r="H996" t="s">
        <v>1771</v>
      </c>
      <c r="I996" t="s">
        <v>1427</v>
      </c>
      <c r="J996" t="s">
        <v>456</v>
      </c>
    </row>
    <row r="997" spans="2:10" x14ac:dyDescent="0.2">
      <c r="C997" t="s">
        <v>455</v>
      </c>
      <c r="D997" s="6"/>
      <c r="E997" s="5"/>
      <c r="F997" s="5"/>
      <c r="G997" s="5"/>
      <c r="H997" s="4"/>
      <c r="I997" s="4"/>
    </row>
    <row r="998" spans="2:10" x14ac:dyDescent="0.2">
      <c r="B998">
        <v>21</v>
      </c>
      <c r="C998" t="s">
        <v>448</v>
      </c>
      <c r="D998" t="s">
        <v>1772</v>
      </c>
      <c r="E998" s="5">
        <v>1.4E-2</v>
      </c>
      <c r="F998" s="5">
        <v>1.4999999999999999E-2</v>
      </c>
      <c r="G998" s="5">
        <v>4.2000000000000003E-2</v>
      </c>
      <c r="H998" t="s">
        <v>1773</v>
      </c>
      <c r="I998" t="s">
        <v>1428</v>
      </c>
      <c r="J998" t="s">
        <v>450</v>
      </c>
    </row>
    <row r="999" spans="2:10" x14ac:dyDescent="0.2">
      <c r="C999" t="s">
        <v>449</v>
      </c>
      <c r="D999" s="6"/>
      <c r="E999" s="5"/>
      <c r="F999" s="5"/>
      <c r="G999" s="5"/>
      <c r="H999" s="4"/>
      <c r="I999" s="4"/>
    </row>
    <row r="1000" spans="2:10" x14ac:dyDescent="0.2">
      <c r="B1000">
        <v>22</v>
      </c>
      <c r="C1000" t="s">
        <v>445</v>
      </c>
      <c r="D1000" t="s">
        <v>1774</v>
      </c>
      <c r="E1000" s="5">
        <v>1E-3</v>
      </c>
      <c r="F1000" s="5">
        <v>3.0000000000000001E-3</v>
      </c>
      <c r="G1000" s="5">
        <v>-5.8000000000000003E-2</v>
      </c>
      <c r="H1000" t="s">
        <v>1775</v>
      </c>
      <c r="I1000" t="s">
        <v>1429</v>
      </c>
      <c r="J1000" t="s">
        <v>447</v>
      </c>
    </row>
    <row r="1001" spans="2:10" x14ac:dyDescent="0.2">
      <c r="C1001" t="s">
        <v>446</v>
      </c>
      <c r="D1001" s="6"/>
      <c r="E1001" s="5"/>
      <c r="F1001" s="5"/>
      <c r="G1001" s="5"/>
      <c r="H1001" s="4"/>
      <c r="I1001" s="4"/>
    </row>
    <row r="1002" spans="2:10" x14ac:dyDescent="0.2">
      <c r="B1002">
        <v>23</v>
      </c>
      <c r="C1002" t="s">
        <v>466</v>
      </c>
      <c r="D1002" t="s">
        <v>1776</v>
      </c>
      <c r="E1002" s="5">
        <v>-8.9999999999999993E-3</v>
      </c>
      <c r="F1002" s="5">
        <v>1.6E-2</v>
      </c>
      <c r="G1002" s="5">
        <v>1.2999999999999999E-2</v>
      </c>
      <c r="H1002" t="s">
        <v>1777</v>
      </c>
      <c r="I1002" t="s">
        <v>1778</v>
      </c>
      <c r="J1002" t="s">
        <v>468</v>
      </c>
    </row>
    <row r="1003" spans="2:10" x14ac:dyDescent="0.2">
      <c r="C1003" t="s">
        <v>467</v>
      </c>
      <c r="D1003" s="6"/>
      <c r="E1003" s="5"/>
      <c r="F1003" s="5"/>
      <c r="G1003" s="5"/>
      <c r="H1003" s="4"/>
      <c r="I1003" s="4"/>
    </row>
    <row r="1004" spans="2:10" x14ac:dyDescent="0.2">
      <c r="B1004">
        <v>24</v>
      </c>
      <c r="C1004" t="s">
        <v>487</v>
      </c>
      <c r="D1004" t="s">
        <v>965</v>
      </c>
      <c r="E1004" s="5">
        <v>2E-3</v>
      </c>
      <c r="F1004" s="5">
        <v>1E-3</v>
      </c>
      <c r="G1004" s="5">
        <v>8.9999999999999993E-3</v>
      </c>
      <c r="H1004" t="s">
        <v>1779</v>
      </c>
      <c r="I1004" t="s">
        <v>1430</v>
      </c>
      <c r="J1004" t="s">
        <v>489</v>
      </c>
    </row>
    <row r="1005" spans="2:10" x14ac:dyDescent="0.2">
      <c r="C1005" t="s">
        <v>488</v>
      </c>
      <c r="D1005" s="6"/>
      <c r="E1005" s="5"/>
      <c r="F1005" s="5"/>
      <c r="G1005" s="5"/>
      <c r="H1005" s="4"/>
      <c r="I1005" s="4"/>
    </row>
    <row r="1006" spans="2:10" x14ac:dyDescent="0.2">
      <c r="B1006">
        <v>25</v>
      </c>
      <c r="C1006" t="s">
        <v>460</v>
      </c>
      <c r="D1006" t="s">
        <v>1780</v>
      </c>
      <c r="E1006" s="5">
        <v>-2E-3</v>
      </c>
      <c r="F1006" s="5">
        <v>-5.0000000000000001E-3</v>
      </c>
      <c r="G1006" s="5">
        <v>-0.186</v>
      </c>
      <c r="H1006" t="s">
        <v>1781</v>
      </c>
      <c r="I1006" t="s">
        <v>1782</v>
      </c>
      <c r="J1006" t="s">
        <v>462</v>
      </c>
    </row>
    <row r="1007" spans="2:10" x14ac:dyDescent="0.2">
      <c r="C1007" t="s">
        <v>461</v>
      </c>
      <c r="D1007" s="6"/>
      <c r="E1007" s="5"/>
      <c r="F1007" s="5"/>
      <c r="G1007" s="5"/>
      <c r="H1007" s="4"/>
      <c r="I1007" s="4"/>
    </row>
    <row r="1008" spans="2:10" x14ac:dyDescent="0.2">
      <c r="B1008">
        <v>26</v>
      </c>
      <c r="C1008" t="s">
        <v>475</v>
      </c>
      <c r="D1008" t="s">
        <v>1783</v>
      </c>
      <c r="E1008" s="5">
        <v>1E-3</v>
      </c>
      <c r="F1008" s="5">
        <v>5.0000000000000001E-3</v>
      </c>
      <c r="G1008" s="5">
        <v>-2.5999999999999999E-2</v>
      </c>
      <c r="H1008" t="s">
        <v>1784</v>
      </c>
      <c r="I1008" t="s">
        <v>1785</v>
      </c>
      <c r="J1008" t="s">
        <v>477</v>
      </c>
    </row>
    <row r="1009" spans="2:10" x14ac:dyDescent="0.2">
      <c r="C1009" t="s">
        <v>476</v>
      </c>
      <c r="D1009" s="6"/>
      <c r="E1009" s="5"/>
      <c r="F1009" s="5"/>
      <c r="G1009" s="5"/>
      <c r="H1009" s="4"/>
      <c r="I1009" s="4"/>
    </row>
    <row r="1010" spans="2:10" x14ac:dyDescent="0.2">
      <c r="B1010">
        <v>27</v>
      </c>
      <c r="C1010" t="s">
        <v>481</v>
      </c>
      <c r="D1010" t="s">
        <v>1677</v>
      </c>
      <c r="E1010" s="5">
        <v>1E-3</v>
      </c>
      <c r="F1010" s="5">
        <v>-3.0000000000000001E-3</v>
      </c>
      <c r="G1010" s="5">
        <v>-3.3000000000000002E-2</v>
      </c>
      <c r="H1010" t="s">
        <v>1786</v>
      </c>
      <c r="I1010" t="s">
        <v>1787</v>
      </c>
      <c r="J1010" t="s">
        <v>483</v>
      </c>
    </row>
    <row r="1011" spans="2:10" x14ac:dyDescent="0.2">
      <c r="C1011" t="s">
        <v>482</v>
      </c>
      <c r="D1011" s="6"/>
      <c r="E1011" s="5"/>
      <c r="F1011" s="5"/>
      <c r="G1011" s="5"/>
      <c r="H1011" s="4"/>
      <c r="I1011" s="4"/>
    </row>
    <row r="1012" spans="2:10" x14ac:dyDescent="0.2">
      <c r="B1012">
        <v>28</v>
      </c>
      <c r="C1012" t="s">
        <v>463</v>
      </c>
      <c r="D1012" t="s">
        <v>1788</v>
      </c>
      <c r="E1012" s="5">
        <v>8.0000000000000002E-3</v>
      </c>
      <c r="F1012" s="5">
        <v>-1.7999999999999999E-2</v>
      </c>
      <c r="G1012" s="5">
        <v>7.0000000000000001E-3</v>
      </c>
      <c r="H1012" t="s">
        <v>1789</v>
      </c>
      <c r="I1012" t="s">
        <v>1431</v>
      </c>
      <c r="J1012" t="s">
        <v>465</v>
      </c>
    </row>
    <row r="1013" spans="2:10" x14ac:dyDescent="0.2">
      <c r="C1013" t="s">
        <v>464</v>
      </c>
      <c r="D1013" s="6"/>
      <c r="E1013" s="5"/>
      <c r="F1013" s="5"/>
      <c r="G1013" s="5"/>
      <c r="H1013" s="4"/>
      <c r="I1013" s="4"/>
    </row>
    <row r="1014" spans="2:10" x14ac:dyDescent="0.2">
      <c r="B1014">
        <v>29</v>
      </c>
      <c r="C1014" t="s">
        <v>457</v>
      </c>
      <c r="D1014" t="s">
        <v>1790</v>
      </c>
      <c r="E1014" s="5">
        <v>-2E-3</v>
      </c>
      <c r="F1014" s="5">
        <v>-7.0000000000000001E-3</v>
      </c>
      <c r="G1014" s="5">
        <v>-0.04</v>
      </c>
      <c r="H1014" t="s">
        <v>1791</v>
      </c>
      <c r="I1014" t="s">
        <v>1792</v>
      </c>
      <c r="J1014" t="s">
        <v>459</v>
      </c>
    </row>
    <row r="1015" spans="2:10" x14ac:dyDescent="0.2">
      <c r="C1015" t="s">
        <v>458</v>
      </c>
      <c r="D1015" s="6"/>
      <c r="E1015" s="5"/>
      <c r="F1015" s="5"/>
      <c r="G1015" s="5"/>
      <c r="H1015" s="4"/>
      <c r="I1015" s="4"/>
    </row>
    <row r="1016" spans="2:10" x14ac:dyDescent="0.2">
      <c r="B1016">
        <v>30</v>
      </c>
      <c r="C1016" t="s">
        <v>472</v>
      </c>
      <c r="D1016" t="s">
        <v>1618</v>
      </c>
      <c r="E1016" s="5">
        <v>1E-3</v>
      </c>
      <c r="F1016" s="5">
        <v>-1.7000000000000001E-2</v>
      </c>
      <c r="G1016" s="5">
        <v>2.7E-2</v>
      </c>
      <c r="H1016" t="s">
        <v>1619</v>
      </c>
      <c r="I1016" t="s">
        <v>1432</v>
      </c>
      <c r="J1016" t="s">
        <v>474</v>
      </c>
    </row>
    <row r="1017" spans="2:10" x14ac:dyDescent="0.2">
      <c r="C1017" t="s">
        <v>473</v>
      </c>
      <c r="D1017" s="6"/>
      <c r="E1017" s="5"/>
      <c r="F1017" s="5"/>
      <c r="G1017" s="5"/>
      <c r="H1017" s="4"/>
      <c r="I1017" s="4"/>
    </row>
    <row r="1018" spans="2:10" x14ac:dyDescent="0.2">
      <c r="B1018">
        <v>31</v>
      </c>
      <c r="C1018" t="s">
        <v>490</v>
      </c>
      <c r="D1018" t="s">
        <v>1393</v>
      </c>
      <c r="E1018" s="5">
        <v>-1E-3</v>
      </c>
      <c r="F1018" s="5">
        <v>-8.7999999999999995E-2</v>
      </c>
      <c r="G1018" s="5">
        <v>0.23400000000000001</v>
      </c>
      <c r="H1018" t="s">
        <v>1394</v>
      </c>
      <c r="I1018" t="s">
        <v>1395</v>
      </c>
      <c r="J1018" t="s">
        <v>492</v>
      </c>
    </row>
    <row r="1019" spans="2:10" x14ac:dyDescent="0.2">
      <c r="C1019" t="s">
        <v>491</v>
      </c>
      <c r="D1019" s="6"/>
      <c r="E1019" s="5"/>
      <c r="F1019" s="5"/>
      <c r="G1019" s="5"/>
      <c r="H1019" s="4"/>
      <c r="I1019" s="4"/>
    </row>
    <row r="1020" spans="2:10" x14ac:dyDescent="0.2">
      <c r="B1020">
        <v>32</v>
      </c>
      <c r="C1020" t="s">
        <v>469</v>
      </c>
      <c r="D1020" t="s">
        <v>1793</v>
      </c>
      <c r="E1020" s="5">
        <v>-1.0999999999999999E-2</v>
      </c>
      <c r="F1020" s="5">
        <v>-5.0000000000000001E-3</v>
      </c>
      <c r="G1020" s="5">
        <v>-3.3000000000000002E-2</v>
      </c>
      <c r="H1020" t="s">
        <v>1794</v>
      </c>
      <c r="I1020" t="s">
        <v>1795</v>
      </c>
      <c r="J1020" t="s">
        <v>471</v>
      </c>
    </row>
    <row r="1021" spans="2:10" x14ac:dyDescent="0.2">
      <c r="C1021" t="s">
        <v>470</v>
      </c>
      <c r="D1021" s="6"/>
      <c r="E1021" s="5"/>
      <c r="F1021" s="5"/>
      <c r="G1021" s="5"/>
      <c r="H1021" s="4"/>
      <c r="I1021" s="4"/>
    </row>
    <row r="1022" spans="2:10" x14ac:dyDescent="0.2">
      <c r="B1022">
        <v>33</v>
      </c>
      <c r="C1022" t="s">
        <v>526</v>
      </c>
      <c r="D1022" t="s">
        <v>1796</v>
      </c>
      <c r="E1022" s="5">
        <v>-6.0000000000000001E-3</v>
      </c>
      <c r="F1022" s="5">
        <v>-4.4999999999999998E-2</v>
      </c>
      <c r="G1022" s="5">
        <v>0.19600000000000001</v>
      </c>
      <c r="H1022" t="s">
        <v>1797</v>
      </c>
      <c r="I1022" t="s">
        <v>1798</v>
      </c>
      <c r="J1022" t="s">
        <v>528</v>
      </c>
    </row>
    <row r="1023" spans="2:10" x14ac:dyDescent="0.2">
      <c r="C1023" t="s">
        <v>527</v>
      </c>
      <c r="D1023" s="6"/>
      <c r="E1023" s="5"/>
      <c r="F1023" s="5"/>
      <c r="G1023" s="5"/>
      <c r="H1023" s="4"/>
      <c r="I1023" s="4"/>
    </row>
    <row r="1024" spans="2:10" x14ac:dyDescent="0.2">
      <c r="B1024">
        <v>34</v>
      </c>
      <c r="C1024" t="s">
        <v>959</v>
      </c>
      <c r="D1024" t="s">
        <v>1799</v>
      </c>
      <c r="E1024" s="5">
        <v>-2.1999999999999999E-2</v>
      </c>
      <c r="F1024" s="5">
        <v>-7.8E-2</v>
      </c>
      <c r="G1024" s="5">
        <v>0.20899999999999999</v>
      </c>
      <c r="H1024" t="s">
        <v>1800</v>
      </c>
      <c r="I1024" t="s">
        <v>1433</v>
      </c>
      <c r="J1024" t="s">
        <v>961</v>
      </c>
    </row>
    <row r="1025" spans="2:10" x14ac:dyDescent="0.2">
      <c r="C1025" t="s">
        <v>960</v>
      </c>
      <c r="D1025" s="6"/>
      <c r="E1025" s="5"/>
      <c r="F1025" s="5"/>
      <c r="G1025" s="5"/>
      <c r="H1025" s="4"/>
      <c r="I1025" s="4"/>
    </row>
    <row r="1026" spans="2:10" x14ac:dyDescent="0.2">
      <c r="B1026">
        <v>35</v>
      </c>
      <c r="C1026" t="s">
        <v>505</v>
      </c>
      <c r="D1026" t="s">
        <v>1621</v>
      </c>
      <c r="E1026" s="5">
        <v>3.0000000000000001E-3</v>
      </c>
      <c r="F1026" s="5">
        <v>3.0000000000000001E-3</v>
      </c>
      <c r="G1026" s="5">
        <v>0.01</v>
      </c>
      <c r="H1026" t="s">
        <v>1622</v>
      </c>
      <c r="I1026" t="s">
        <v>1434</v>
      </c>
      <c r="J1026" t="s">
        <v>507</v>
      </c>
    </row>
    <row r="1027" spans="2:10" x14ac:dyDescent="0.2">
      <c r="C1027" t="s">
        <v>506</v>
      </c>
      <c r="D1027" s="6"/>
      <c r="E1027" s="5"/>
      <c r="F1027" s="5"/>
      <c r="G1027" s="5"/>
      <c r="H1027" s="4"/>
      <c r="I1027" s="4"/>
    </row>
    <row r="1028" spans="2:10" x14ac:dyDescent="0.2">
      <c r="B1028">
        <v>36</v>
      </c>
      <c r="C1028" t="s">
        <v>520</v>
      </c>
      <c r="D1028" t="s">
        <v>1623</v>
      </c>
      <c r="E1028" s="5">
        <v>3.0000000000000001E-3</v>
      </c>
      <c r="F1028" s="5">
        <v>2E-3</v>
      </c>
      <c r="G1028" s="5">
        <v>8.9999999999999993E-3</v>
      </c>
      <c r="H1028" t="s">
        <v>1624</v>
      </c>
      <c r="I1028" t="s">
        <v>1435</v>
      </c>
      <c r="J1028" t="s">
        <v>522</v>
      </c>
    </row>
    <row r="1029" spans="2:10" x14ac:dyDescent="0.2">
      <c r="C1029" t="s">
        <v>521</v>
      </c>
      <c r="D1029" s="6"/>
      <c r="E1029" s="5"/>
      <c r="F1029" s="5"/>
      <c r="G1029" s="5"/>
      <c r="H1029" s="4"/>
      <c r="I1029" s="4"/>
    </row>
    <row r="1030" spans="2:10" x14ac:dyDescent="0.2">
      <c r="B1030">
        <v>37</v>
      </c>
      <c r="C1030" t="s">
        <v>484</v>
      </c>
      <c r="D1030" t="s">
        <v>1801</v>
      </c>
      <c r="E1030" s="5">
        <v>1.7999999999999999E-2</v>
      </c>
      <c r="F1030" s="5">
        <v>8.9999999999999993E-3</v>
      </c>
      <c r="G1030" s="5">
        <v>-1.6E-2</v>
      </c>
      <c r="H1030" t="s">
        <v>1802</v>
      </c>
      <c r="I1030" t="s">
        <v>1803</v>
      </c>
      <c r="J1030" t="s">
        <v>486</v>
      </c>
    </row>
    <row r="1031" spans="2:10" x14ac:dyDescent="0.2">
      <c r="C1031" t="s">
        <v>485</v>
      </c>
      <c r="D1031" s="6"/>
      <c r="E1031" s="5"/>
      <c r="F1031" s="5"/>
      <c r="G1031" s="5"/>
      <c r="H1031" s="4"/>
      <c r="I1031" s="4"/>
    </row>
    <row r="1032" spans="2:10" x14ac:dyDescent="0.2">
      <c r="B1032">
        <v>39</v>
      </c>
      <c r="C1032" t="s">
        <v>499</v>
      </c>
      <c r="D1032" t="s">
        <v>1804</v>
      </c>
      <c r="E1032" s="5">
        <v>1E-3</v>
      </c>
      <c r="F1032" s="5">
        <v>-1.0999999999999999E-2</v>
      </c>
      <c r="G1032" s="5">
        <v>7.5999999999999998E-2</v>
      </c>
      <c r="H1032" t="s">
        <v>1805</v>
      </c>
      <c r="I1032" t="s">
        <v>1436</v>
      </c>
      <c r="J1032" t="s">
        <v>501</v>
      </c>
    </row>
    <row r="1033" spans="2:10" x14ac:dyDescent="0.2">
      <c r="C1033" t="s">
        <v>500</v>
      </c>
      <c r="D1033" s="6"/>
      <c r="E1033" s="5"/>
      <c r="F1033" s="5"/>
      <c r="G1033" s="5"/>
      <c r="H1033" s="4"/>
      <c r="I1033" s="4"/>
    </row>
    <row r="1034" spans="2:10" x14ac:dyDescent="0.2">
      <c r="B1034">
        <v>38</v>
      </c>
      <c r="C1034" t="s">
        <v>502</v>
      </c>
      <c r="D1034" t="s">
        <v>1678</v>
      </c>
      <c r="E1034" s="5">
        <v>-6.0000000000000001E-3</v>
      </c>
      <c r="F1034" s="5">
        <v>-2E-3</v>
      </c>
      <c r="G1034" s="5">
        <v>2.4E-2</v>
      </c>
      <c r="H1034" t="s">
        <v>1806</v>
      </c>
      <c r="I1034" t="s">
        <v>1807</v>
      </c>
      <c r="J1034" t="s">
        <v>504</v>
      </c>
    </row>
    <row r="1035" spans="2:10" x14ac:dyDescent="0.2">
      <c r="C1035" t="s">
        <v>503</v>
      </c>
      <c r="D1035" s="6"/>
      <c r="E1035" s="5"/>
      <c r="F1035" s="5"/>
      <c r="G1035" s="5"/>
      <c r="H1035" s="4"/>
      <c r="I1035" s="4"/>
    </row>
    <row r="1036" spans="2:10" x14ac:dyDescent="0.2">
      <c r="B1036">
        <v>40</v>
      </c>
      <c r="C1036" t="s">
        <v>514</v>
      </c>
      <c r="D1036" t="s">
        <v>1808</v>
      </c>
      <c r="E1036" s="5">
        <v>-8.0000000000000002E-3</v>
      </c>
      <c r="F1036" s="5">
        <v>-6.0000000000000001E-3</v>
      </c>
      <c r="G1036" s="5">
        <v>0.38100000000000001</v>
      </c>
      <c r="H1036" t="s">
        <v>1809</v>
      </c>
      <c r="I1036" t="s">
        <v>1810</v>
      </c>
      <c r="J1036" t="s">
        <v>516</v>
      </c>
    </row>
    <row r="1037" spans="2:10" x14ac:dyDescent="0.2">
      <c r="C1037" t="s">
        <v>515</v>
      </c>
      <c r="D1037" s="6"/>
      <c r="E1037" s="5"/>
      <c r="F1037" s="5"/>
      <c r="G1037" s="5"/>
      <c r="H1037" s="4"/>
      <c r="I1037" s="4"/>
    </row>
    <row r="1038" spans="2:10" x14ac:dyDescent="0.2">
      <c r="B1038">
        <v>41</v>
      </c>
      <c r="C1038" t="s">
        <v>547</v>
      </c>
      <c r="D1038" t="s">
        <v>1811</v>
      </c>
      <c r="E1038" s="5">
        <v>-7.0000000000000001E-3</v>
      </c>
      <c r="F1038" s="5">
        <v>-3.5000000000000003E-2</v>
      </c>
      <c r="G1038" s="5">
        <v>2E-3</v>
      </c>
      <c r="H1038" t="s">
        <v>1812</v>
      </c>
      <c r="I1038" t="s">
        <v>1437</v>
      </c>
      <c r="J1038" t="s">
        <v>549</v>
      </c>
    </row>
    <row r="1039" spans="2:10" x14ac:dyDescent="0.2">
      <c r="C1039" t="s">
        <v>548</v>
      </c>
      <c r="D1039" s="6"/>
      <c r="E1039" s="5"/>
      <c r="F1039" s="5"/>
      <c r="G1039" s="5"/>
      <c r="H1039" s="4"/>
      <c r="I1039" s="4"/>
    </row>
    <row r="1040" spans="2:10" x14ac:dyDescent="0.2">
      <c r="B1040">
        <v>42</v>
      </c>
      <c r="C1040" t="s">
        <v>523</v>
      </c>
      <c r="D1040" t="s">
        <v>1813</v>
      </c>
      <c r="E1040" s="5">
        <v>-1E-3</v>
      </c>
      <c r="F1040" s="5">
        <v>-1.2E-2</v>
      </c>
      <c r="G1040" s="5">
        <v>-1.7000000000000001E-2</v>
      </c>
      <c r="H1040" t="s">
        <v>1814</v>
      </c>
      <c r="I1040" t="s">
        <v>1815</v>
      </c>
      <c r="J1040" t="s">
        <v>525</v>
      </c>
    </row>
    <row r="1041" spans="2:10" x14ac:dyDescent="0.2">
      <c r="C1041" t="s">
        <v>524</v>
      </c>
      <c r="D1041" s="6"/>
      <c r="E1041" s="5"/>
      <c r="F1041" s="5"/>
      <c r="G1041" s="5"/>
      <c r="H1041" s="4"/>
      <c r="I1041" s="4"/>
    </row>
    <row r="1042" spans="2:10" x14ac:dyDescent="0.2">
      <c r="B1042">
        <v>43</v>
      </c>
      <c r="C1042" t="s">
        <v>517</v>
      </c>
      <c r="D1042" t="s">
        <v>1610</v>
      </c>
      <c r="E1042" s="5">
        <v>-4.0000000000000001E-3</v>
      </c>
      <c r="F1042" s="5">
        <v>-2.1999999999999999E-2</v>
      </c>
      <c r="G1042" s="5">
        <v>2.5999999999999999E-2</v>
      </c>
      <c r="H1042" t="s">
        <v>1611</v>
      </c>
      <c r="I1042" t="s">
        <v>1438</v>
      </c>
      <c r="J1042" t="s">
        <v>519</v>
      </c>
    </row>
    <row r="1043" spans="2:10" x14ac:dyDescent="0.2">
      <c r="C1043" t="s">
        <v>518</v>
      </c>
      <c r="D1043" s="6"/>
      <c r="E1043" s="5"/>
      <c r="F1043" s="5"/>
      <c r="G1043" s="5"/>
      <c r="H1043" s="4"/>
      <c r="I1043" s="4"/>
    </row>
    <row r="1044" spans="2:10" x14ac:dyDescent="0.2">
      <c r="B1044">
        <v>44</v>
      </c>
      <c r="C1044" t="s">
        <v>553</v>
      </c>
      <c r="D1044" t="s">
        <v>1816</v>
      </c>
      <c r="E1044" s="5">
        <v>-0.01</v>
      </c>
      <c r="F1044" s="5">
        <v>-4.7E-2</v>
      </c>
      <c r="G1044" s="5">
        <v>3.4000000000000002E-2</v>
      </c>
      <c r="H1044" t="s">
        <v>1817</v>
      </c>
      <c r="I1044" t="s">
        <v>1818</v>
      </c>
      <c r="J1044" t="s">
        <v>555</v>
      </c>
    </row>
    <row r="1045" spans="2:10" x14ac:dyDescent="0.2">
      <c r="C1045" t="s">
        <v>554</v>
      </c>
      <c r="D1045" s="6"/>
      <c r="E1045" s="5"/>
      <c r="F1045" s="5"/>
      <c r="G1045" s="5"/>
      <c r="H1045" s="4"/>
      <c r="I1045" s="4"/>
    </row>
    <row r="1046" spans="2:10" x14ac:dyDescent="0.2">
      <c r="B1046">
        <v>45</v>
      </c>
      <c r="C1046" t="s">
        <v>496</v>
      </c>
      <c r="D1046" t="s">
        <v>1679</v>
      </c>
      <c r="E1046" s="5">
        <v>0</v>
      </c>
      <c r="F1046" s="5">
        <v>-1.6E-2</v>
      </c>
      <c r="G1046" s="5">
        <v>-3.5000000000000003E-2</v>
      </c>
      <c r="H1046" t="s">
        <v>1819</v>
      </c>
      <c r="I1046" t="s">
        <v>1820</v>
      </c>
      <c r="J1046" t="s">
        <v>498</v>
      </c>
    </row>
    <row r="1047" spans="2:10" x14ac:dyDescent="0.2">
      <c r="C1047" t="s">
        <v>497</v>
      </c>
      <c r="D1047" s="6"/>
      <c r="E1047" s="5"/>
      <c r="F1047" s="5"/>
      <c r="G1047" s="5"/>
      <c r="H1047" s="4"/>
      <c r="I1047" s="4"/>
    </row>
    <row r="1048" spans="2:10" x14ac:dyDescent="0.2">
      <c r="B1048">
        <v>46</v>
      </c>
      <c r="C1048" t="s">
        <v>538</v>
      </c>
      <c r="D1048" t="s">
        <v>1821</v>
      </c>
      <c r="E1048" s="5">
        <v>1E-3</v>
      </c>
      <c r="F1048" s="5">
        <v>-2.4E-2</v>
      </c>
      <c r="G1048" s="5">
        <v>2.7E-2</v>
      </c>
      <c r="H1048" t="s">
        <v>1822</v>
      </c>
      <c r="I1048" t="s">
        <v>1823</v>
      </c>
      <c r="J1048" t="s">
        <v>540</v>
      </c>
    </row>
    <row r="1049" spans="2:10" x14ac:dyDescent="0.2">
      <c r="C1049" t="s">
        <v>539</v>
      </c>
      <c r="D1049" s="6"/>
      <c r="E1049" s="5"/>
      <c r="F1049" s="5"/>
      <c r="G1049" s="5"/>
      <c r="H1049" s="4"/>
      <c r="I1049" s="4"/>
    </row>
    <row r="1050" spans="2:10" x14ac:dyDescent="0.2">
      <c r="B1050">
        <v>47</v>
      </c>
      <c r="C1050" t="s">
        <v>493</v>
      </c>
      <c r="D1050" t="s">
        <v>1824</v>
      </c>
      <c r="E1050" s="5">
        <v>2E-3</v>
      </c>
      <c r="F1050" s="5">
        <v>-2.7E-2</v>
      </c>
      <c r="G1050" s="5">
        <v>-1.9E-2</v>
      </c>
      <c r="H1050" t="s">
        <v>1825</v>
      </c>
      <c r="I1050" t="s">
        <v>1826</v>
      </c>
      <c r="J1050" t="s">
        <v>495</v>
      </c>
    </row>
    <row r="1051" spans="2:10" x14ac:dyDescent="0.2">
      <c r="C1051" t="s">
        <v>494</v>
      </c>
      <c r="D1051" s="6"/>
      <c r="E1051" s="5"/>
      <c r="F1051" s="5"/>
      <c r="G1051" s="5"/>
      <c r="H1051" s="4"/>
      <c r="I1051" s="4"/>
    </row>
    <row r="1052" spans="2:10" x14ac:dyDescent="0.2">
      <c r="B1052">
        <v>48</v>
      </c>
      <c r="C1052" t="s">
        <v>562</v>
      </c>
      <c r="D1052" t="s">
        <v>1827</v>
      </c>
      <c r="E1052" s="5">
        <v>0.01</v>
      </c>
      <c r="F1052" s="5">
        <v>-1.2999999999999999E-2</v>
      </c>
      <c r="G1052" s="5">
        <v>1.7000000000000001E-2</v>
      </c>
      <c r="H1052" t="s">
        <v>1828</v>
      </c>
      <c r="I1052" t="s">
        <v>1829</v>
      </c>
      <c r="J1052" t="s">
        <v>564</v>
      </c>
    </row>
    <row r="1053" spans="2:10" x14ac:dyDescent="0.2">
      <c r="C1053" t="s">
        <v>563</v>
      </c>
      <c r="D1053" s="6"/>
      <c r="E1053" s="5"/>
      <c r="F1053" s="5"/>
      <c r="G1053" s="5"/>
      <c r="H1053" s="4"/>
      <c r="I1053" s="4"/>
    </row>
    <row r="1054" spans="2:10" x14ac:dyDescent="0.2">
      <c r="B1054">
        <v>49</v>
      </c>
      <c r="C1054" t="s">
        <v>511</v>
      </c>
      <c r="D1054" t="s">
        <v>1830</v>
      </c>
      <c r="E1054" s="5">
        <v>-2E-3</v>
      </c>
      <c r="F1054" s="5">
        <v>-2.3E-2</v>
      </c>
      <c r="G1054" s="5">
        <v>-3.6999999999999998E-2</v>
      </c>
      <c r="H1054" t="s">
        <v>1831</v>
      </c>
      <c r="I1054" t="s">
        <v>1439</v>
      </c>
      <c r="J1054" t="s">
        <v>513</v>
      </c>
    </row>
    <row r="1055" spans="2:10" x14ac:dyDescent="0.2">
      <c r="C1055" t="s">
        <v>512</v>
      </c>
      <c r="D1055" s="6"/>
      <c r="E1055" s="5"/>
      <c r="F1055" s="5"/>
      <c r="G1055" s="5"/>
      <c r="H1055" s="4"/>
      <c r="I1055" s="4"/>
    </row>
    <row r="1056" spans="2:10" x14ac:dyDescent="0.2">
      <c r="B1056">
        <v>50</v>
      </c>
      <c r="C1056" t="s">
        <v>577</v>
      </c>
      <c r="D1056" t="s">
        <v>1832</v>
      </c>
      <c r="E1056" s="5">
        <v>1.4999999999999999E-2</v>
      </c>
      <c r="F1056" s="5">
        <v>-1E-3</v>
      </c>
      <c r="G1056" s="5">
        <v>-1.2E-2</v>
      </c>
      <c r="H1056" t="s">
        <v>1833</v>
      </c>
      <c r="I1056" t="s">
        <v>1440</v>
      </c>
      <c r="J1056" t="s">
        <v>579</v>
      </c>
    </row>
    <row r="1057" spans="2:10" x14ac:dyDescent="0.2">
      <c r="C1057" t="s">
        <v>578</v>
      </c>
      <c r="D1057" s="6"/>
      <c r="E1057" s="5"/>
      <c r="F1057" s="5"/>
      <c r="G1057" s="5"/>
      <c r="H1057" s="4"/>
      <c r="I1057" s="4"/>
    </row>
    <row r="1058" spans="2:10" x14ac:dyDescent="0.2">
      <c r="B1058">
        <v>51</v>
      </c>
      <c r="C1058" t="s">
        <v>565</v>
      </c>
      <c r="D1058" t="s">
        <v>1600</v>
      </c>
      <c r="E1058" s="5">
        <v>-6.0000000000000001E-3</v>
      </c>
      <c r="F1058" s="5">
        <v>-3.5999999999999997E-2</v>
      </c>
      <c r="G1058" s="5">
        <v>0.20100000000000001</v>
      </c>
      <c r="H1058" t="s">
        <v>1834</v>
      </c>
      <c r="I1058" t="s">
        <v>1835</v>
      </c>
      <c r="J1058" t="s">
        <v>567</v>
      </c>
    </row>
    <row r="1059" spans="2:10" x14ac:dyDescent="0.2">
      <c r="C1059" t="s">
        <v>566</v>
      </c>
      <c r="D1059" s="6"/>
      <c r="E1059" s="5"/>
      <c r="F1059" s="5"/>
      <c r="G1059" s="5"/>
      <c r="H1059" s="4"/>
      <c r="I1059" s="4"/>
    </row>
    <row r="1060" spans="2:10" x14ac:dyDescent="0.2">
      <c r="B1060">
        <v>52</v>
      </c>
      <c r="C1060" t="s">
        <v>508</v>
      </c>
      <c r="D1060" t="s">
        <v>1625</v>
      </c>
      <c r="E1060" s="5">
        <v>4.0000000000000001E-3</v>
      </c>
      <c r="F1060" s="5">
        <v>-4.1000000000000002E-2</v>
      </c>
      <c r="G1060" s="5">
        <v>-0.14499999999999999</v>
      </c>
      <c r="H1060" t="s">
        <v>1836</v>
      </c>
      <c r="I1060" t="s">
        <v>1442</v>
      </c>
      <c r="J1060" t="s">
        <v>510</v>
      </c>
    </row>
    <row r="1061" spans="2:10" x14ac:dyDescent="0.2">
      <c r="C1061" t="s">
        <v>509</v>
      </c>
      <c r="D1061" s="6"/>
      <c r="E1061" s="5"/>
      <c r="F1061" s="5"/>
      <c r="G1061" s="5"/>
      <c r="H1061" s="4"/>
      <c r="I1061" s="4"/>
    </row>
    <row r="1062" spans="2:10" x14ac:dyDescent="0.2">
      <c r="B1062">
        <v>53</v>
      </c>
      <c r="C1062" t="s">
        <v>541</v>
      </c>
      <c r="D1062" t="s">
        <v>1837</v>
      </c>
      <c r="E1062" s="5">
        <v>-6.0000000000000001E-3</v>
      </c>
      <c r="F1062" s="5">
        <v>-1.7999999999999999E-2</v>
      </c>
      <c r="G1062" s="5">
        <v>5.2999999999999999E-2</v>
      </c>
      <c r="H1062" t="s">
        <v>1838</v>
      </c>
      <c r="I1062" t="s">
        <v>1839</v>
      </c>
      <c r="J1062" t="s">
        <v>543</v>
      </c>
    </row>
    <row r="1063" spans="2:10" x14ac:dyDescent="0.2">
      <c r="C1063" t="s">
        <v>542</v>
      </c>
      <c r="D1063" s="6"/>
      <c r="E1063" s="5"/>
      <c r="F1063" s="5"/>
      <c r="G1063" s="5"/>
      <c r="H1063" s="4"/>
      <c r="I1063" s="4"/>
    </row>
    <row r="1064" spans="2:10" x14ac:dyDescent="0.2">
      <c r="B1064">
        <v>54</v>
      </c>
      <c r="C1064" t="s">
        <v>568</v>
      </c>
      <c r="D1064" t="s">
        <v>1840</v>
      </c>
      <c r="E1064" s="5">
        <v>6.0000000000000001E-3</v>
      </c>
      <c r="F1064" s="5">
        <v>7.4999999999999997E-2</v>
      </c>
      <c r="G1064" s="5">
        <v>-2.5000000000000001E-2</v>
      </c>
      <c r="H1064" t="s">
        <v>1841</v>
      </c>
      <c r="I1064" t="s">
        <v>1842</v>
      </c>
      <c r="J1064" t="s">
        <v>570</v>
      </c>
    </row>
    <row r="1065" spans="2:10" x14ac:dyDescent="0.2">
      <c r="C1065" t="s">
        <v>569</v>
      </c>
      <c r="D1065" s="6"/>
      <c r="E1065" s="5"/>
      <c r="F1065" s="5"/>
      <c r="G1065" s="5"/>
      <c r="H1065" s="4"/>
      <c r="I1065" s="4"/>
    </row>
    <row r="1066" spans="2:10" x14ac:dyDescent="0.2">
      <c r="B1066">
        <v>55</v>
      </c>
      <c r="C1066" t="s">
        <v>595</v>
      </c>
      <c r="D1066" t="s">
        <v>965</v>
      </c>
      <c r="E1066" s="5">
        <v>2E-3</v>
      </c>
      <c r="F1066" s="5">
        <v>0</v>
      </c>
      <c r="G1066" s="5">
        <v>2E-3</v>
      </c>
      <c r="H1066" t="s">
        <v>1843</v>
      </c>
      <c r="I1066" t="s">
        <v>1844</v>
      </c>
      <c r="J1066" t="s">
        <v>597</v>
      </c>
    </row>
    <row r="1067" spans="2:10" x14ac:dyDescent="0.2">
      <c r="C1067" t="s">
        <v>596</v>
      </c>
      <c r="D1067" s="6"/>
      <c r="E1067" s="5"/>
      <c r="F1067" s="5"/>
      <c r="G1067" s="5"/>
      <c r="H1067" s="4"/>
      <c r="I1067" s="4"/>
    </row>
    <row r="1068" spans="2:10" x14ac:dyDescent="0.2">
      <c r="B1068">
        <v>56</v>
      </c>
      <c r="C1068" t="s">
        <v>532</v>
      </c>
      <c r="D1068" t="s">
        <v>1845</v>
      </c>
      <c r="E1068" s="5">
        <v>-6.0000000000000001E-3</v>
      </c>
      <c r="F1068" s="5">
        <v>2E-3</v>
      </c>
      <c r="G1068" s="5">
        <v>-6.0000000000000001E-3</v>
      </c>
      <c r="H1068" t="s">
        <v>1846</v>
      </c>
      <c r="I1068" t="s">
        <v>1847</v>
      </c>
      <c r="J1068" t="s">
        <v>534</v>
      </c>
    </row>
    <row r="1069" spans="2:10" x14ac:dyDescent="0.2">
      <c r="C1069" t="s">
        <v>533</v>
      </c>
      <c r="D1069" s="6"/>
      <c r="E1069" s="5"/>
      <c r="F1069" s="5"/>
      <c r="G1069" s="5"/>
      <c r="H1069" s="4"/>
      <c r="I1069" s="4"/>
    </row>
    <row r="1070" spans="2:10" x14ac:dyDescent="0.2">
      <c r="B1070">
        <v>57</v>
      </c>
      <c r="C1070" t="s">
        <v>535</v>
      </c>
      <c r="D1070" t="s">
        <v>1680</v>
      </c>
      <c r="E1070" s="5">
        <v>2.1999999999999999E-2</v>
      </c>
      <c r="F1070" s="5">
        <v>-2.3E-2</v>
      </c>
      <c r="G1070" s="5">
        <v>2.3E-2</v>
      </c>
      <c r="H1070" t="s">
        <v>1848</v>
      </c>
      <c r="I1070" t="s">
        <v>1443</v>
      </c>
      <c r="J1070" t="s">
        <v>537</v>
      </c>
    </row>
    <row r="1071" spans="2:10" x14ac:dyDescent="0.2">
      <c r="C1071" t="s">
        <v>536</v>
      </c>
      <c r="D1071" s="6"/>
      <c r="E1071" s="5"/>
      <c r="F1071" s="5"/>
      <c r="G1071" s="5"/>
      <c r="H1071" s="4"/>
      <c r="I1071" s="4"/>
    </row>
    <row r="1072" spans="2:10" x14ac:dyDescent="0.2">
      <c r="B1072">
        <v>58</v>
      </c>
      <c r="C1072" t="s">
        <v>598</v>
      </c>
      <c r="D1072" t="s">
        <v>1681</v>
      </c>
      <c r="E1072" s="5">
        <v>8.0000000000000002E-3</v>
      </c>
      <c r="F1072" s="5">
        <v>-4.0000000000000001E-3</v>
      </c>
      <c r="G1072" s="5">
        <v>8.4000000000000005E-2</v>
      </c>
      <c r="H1072" t="s">
        <v>1849</v>
      </c>
      <c r="I1072" t="s">
        <v>990</v>
      </c>
      <c r="J1072" t="s">
        <v>600</v>
      </c>
    </row>
    <row r="1073" spans="2:10" x14ac:dyDescent="0.2">
      <c r="C1073" t="s">
        <v>599</v>
      </c>
      <c r="D1073" s="6"/>
      <c r="E1073" s="5"/>
      <c r="F1073" s="5"/>
      <c r="G1073" s="5"/>
      <c r="H1073" s="4"/>
      <c r="I1073" s="4"/>
    </row>
    <row r="1074" spans="2:10" x14ac:dyDescent="0.2">
      <c r="B1074">
        <v>59</v>
      </c>
      <c r="C1074" t="s">
        <v>544</v>
      </c>
      <c r="D1074" t="s">
        <v>1850</v>
      </c>
      <c r="E1074" s="5">
        <v>-1E-3</v>
      </c>
      <c r="F1074" s="5">
        <v>-8.9999999999999993E-3</v>
      </c>
      <c r="G1074" s="5">
        <v>-8.4000000000000005E-2</v>
      </c>
      <c r="H1074" t="s">
        <v>1851</v>
      </c>
      <c r="I1074" t="s">
        <v>1444</v>
      </c>
      <c r="J1074" t="s">
        <v>546</v>
      </c>
    </row>
    <row r="1075" spans="2:10" x14ac:dyDescent="0.2">
      <c r="C1075" t="s">
        <v>545</v>
      </c>
      <c r="D1075" s="6"/>
      <c r="E1075" s="5"/>
      <c r="F1075" s="5"/>
      <c r="G1075" s="5"/>
      <c r="H1075" s="4"/>
      <c r="I1075" s="4"/>
    </row>
    <row r="1076" spans="2:10" x14ac:dyDescent="0.2">
      <c r="B1076">
        <v>60</v>
      </c>
      <c r="C1076" t="s">
        <v>559</v>
      </c>
      <c r="D1076" t="s">
        <v>1682</v>
      </c>
      <c r="E1076" s="5">
        <v>8.9999999999999993E-3</v>
      </c>
      <c r="F1076" s="5">
        <v>-2.3E-2</v>
      </c>
      <c r="G1076" s="5">
        <v>0.04</v>
      </c>
      <c r="H1076" t="s">
        <v>1852</v>
      </c>
      <c r="I1076" t="s">
        <v>1853</v>
      </c>
      <c r="J1076" t="s">
        <v>561</v>
      </c>
    </row>
    <row r="1077" spans="2:10" x14ac:dyDescent="0.2">
      <c r="C1077" t="s">
        <v>560</v>
      </c>
      <c r="D1077" s="6"/>
      <c r="E1077" s="5"/>
      <c r="F1077" s="5"/>
      <c r="G1077" s="5"/>
      <c r="H1077" s="4"/>
      <c r="I1077" s="4"/>
    </row>
    <row r="1078" spans="2:10" x14ac:dyDescent="0.2">
      <c r="B1078">
        <v>61</v>
      </c>
      <c r="C1078" t="s">
        <v>580</v>
      </c>
      <c r="D1078" t="s">
        <v>1410</v>
      </c>
      <c r="E1078" s="5">
        <v>2E-3</v>
      </c>
      <c r="F1078" s="5">
        <v>1E-3</v>
      </c>
      <c r="G1078" s="5">
        <v>1E-3</v>
      </c>
      <c r="H1078" t="s">
        <v>1854</v>
      </c>
      <c r="I1078" t="s">
        <v>1855</v>
      </c>
      <c r="J1078" t="s">
        <v>582</v>
      </c>
    </row>
    <row r="1079" spans="2:10" x14ac:dyDescent="0.2">
      <c r="C1079" t="s">
        <v>581</v>
      </c>
      <c r="D1079" s="6"/>
      <c r="E1079" s="5"/>
      <c r="F1079" s="5"/>
      <c r="G1079" s="5"/>
      <c r="H1079" s="4"/>
      <c r="I1079" s="4"/>
    </row>
    <row r="1080" spans="2:10" x14ac:dyDescent="0.2">
      <c r="B1080">
        <v>62</v>
      </c>
      <c r="C1080" t="s">
        <v>586</v>
      </c>
      <c r="D1080" t="s">
        <v>1856</v>
      </c>
      <c r="E1080" s="5">
        <v>-6.0000000000000001E-3</v>
      </c>
      <c r="F1080" s="5">
        <v>-8.9999999999999993E-3</v>
      </c>
      <c r="G1080" s="5">
        <v>4.1000000000000002E-2</v>
      </c>
      <c r="H1080" t="s">
        <v>1857</v>
      </c>
      <c r="I1080" t="s">
        <v>1858</v>
      </c>
      <c r="J1080" t="s">
        <v>588</v>
      </c>
    </row>
    <row r="1081" spans="2:10" x14ac:dyDescent="0.2">
      <c r="C1081" t="s">
        <v>587</v>
      </c>
      <c r="D1081" s="6"/>
      <c r="E1081" s="5"/>
      <c r="F1081" s="5"/>
      <c r="G1081" s="5"/>
      <c r="H1081" s="4"/>
      <c r="I1081" s="4"/>
    </row>
    <row r="1082" spans="2:10" x14ac:dyDescent="0.2">
      <c r="B1082">
        <v>63</v>
      </c>
      <c r="C1082" t="s">
        <v>556</v>
      </c>
      <c r="D1082" t="s">
        <v>1859</v>
      </c>
      <c r="E1082" s="5">
        <v>-1E-3</v>
      </c>
      <c r="F1082" s="5">
        <v>-1.2999999999999999E-2</v>
      </c>
      <c r="G1082" s="5">
        <v>-0.04</v>
      </c>
      <c r="H1082" t="s">
        <v>1860</v>
      </c>
      <c r="I1082" t="s">
        <v>1861</v>
      </c>
      <c r="J1082" t="s">
        <v>558</v>
      </c>
    </row>
    <row r="1083" spans="2:10" x14ac:dyDescent="0.2">
      <c r="C1083" t="s">
        <v>557</v>
      </c>
      <c r="D1083" s="6"/>
      <c r="E1083" s="5"/>
      <c r="F1083" s="5"/>
      <c r="G1083" s="5"/>
      <c r="H1083" s="4"/>
      <c r="I1083" s="4"/>
    </row>
    <row r="1084" spans="2:10" x14ac:dyDescent="0.2">
      <c r="B1084">
        <v>64</v>
      </c>
      <c r="C1084" t="s">
        <v>550</v>
      </c>
      <c r="D1084" t="s">
        <v>1862</v>
      </c>
      <c r="E1084" s="5">
        <v>5.0000000000000001E-3</v>
      </c>
      <c r="F1084" s="5">
        <v>-3.4000000000000002E-2</v>
      </c>
      <c r="G1084" s="5">
        <v>-2.5999999999999999E-2</v>
      </c>
      <c r="H1084" t="s">
        <v>1863</v>
      </c>
      <c r="I1084" t="s">
        <v>1445</v>
      </c>
      <c r="J1084" t="s">
        <v>552</v>
      </c>
    </row>
    <row r="1085" spans="2:10" x14ac:dyDescent="0.2">
      <c r="C1085" t="s">
        <v>551</v>
      </c>
      <c r="D1085" s="6"/>
      <c r="E1085" s="5"/>
      <c r="F1085" s="5"/>
      <c r="G1085" s="5"/>
      <c r="H1085" s="4"/>
      <c r="I1085" s="4"/>
    </row>
    <row r="1086" spans="2:10" x14ac:dyDescent="0.2">
      <c r="B1086">
        <v>65</v>
      </c>
      <c r="C1086" t="s">
        <v>574</v>
      </c>
      <c r="D1086" t="s">
        <v>1864</v>
      </c>
      <c r="E1086" s="5">
        <v>0</v>
      </c>
      <c r="F1086" s="5">
        <v>-2.8000000000000001E-2</v>
      </c>
      <c r="G1086" s="5">
        <v>2.4E-2</v>
      </c>
      <c r="H1086" t="s">
        <v>1865</v>
      </c>
      <c r="I1086" t="s">
        <v>1866</v>
      </c>
      <c r="J1086" t="s">
        <v>576</v>
      </c>
    </row>
    <row r="1087" spans="2:10" x14ac:dyDescent="0.2">
      <c r="C1087" t="s">
        <v>575</v>
      </c>
      <c r="D1087" s="6"/>
      <c r="E1087" s="5"/>
      <c r="F1087" s="5"/>
      <c r="G1087" s="5"/>
      <c r="H1087" s="4"/>
      <c r="I1087" s="4"/>
    </row>
    <row r="1088" spans="2:10" x14ac:dyDescent="0.2">
      <c r="B1088">
        <v>66</v>
      </c>
      <c r="C1088" t="s">
        <v>583</v>
      </c>
      <c r="D1088" t="s">
        <v>1867</v>
      </c>
      <c r="E1088" s="5">
        <v>0</v>
      </c>
      <c r="F1088" s="5">
        <v>-5.5E-2</v>
      </c>
      <c r="G1088" s="5">
        <v>2.5999999999999999E-2</v>
      </c>
      <c r="H1088" t="s">
        <v>1868</v>
      </c>
      <c r="I1088" t="s">
        <v>1869</v>
      </c>
      <c r="J1088" t="s">
        <v>585</v>
      </c>
    </row>
    <row r="1089" spans="2:10" x14ac:dyDescent="0.2">
      <c r="C1089" t="s">
        <v>584</v>
      </c>
      <c r="D1089" s="6"/>
      <c r="E1089" s="5"/>
      <c r="F1089" s="5"/>
      <c r="G1089" s="5"/>
      <c r="H1089" s="4"/>
      <c r="I1089" s="4"/>
    </row>
    <row r="1090" spans="2:10" x14ac:dyDescent="0.2">
      <c r="B1090">
        <v>67</v>
      </c>
      <c r="C1090" t="s">
        <v>835</v>
      </c>
      <c r="D1090" t="s">
        <v>1683</v>
      </c>
      <c r="E1090" s="5">
        <v>1.2999999999999999E-2</v>
      </c>
      <c r="F1090" s="5">
        <v>-0.05</v>
      </c>
      <c r="G1090" s="5">
        <v>-8.8999999999999996E-2</v>
      </c>
      <c r="H1090" t="s">
        <v>1870</v>
      </c>
      <c r="I1090" t="s">
        <v>1446</v>
      </c>
      <c r="J1090" t="s">
        <v>837</v>
      </c>
    </row>
    <row r="1091" spans="2:10" x14ac:dyDescent="0.2">
      <c r="C1091" t="s">
        <v>836</v>
      </c>
      <c r="D1091" s="6"/>
      <c r="E1091" s="5"/>
      <c r="F1091" s="5"/>
      <c r="G1091" s="5"/>
      <c r="H1091" s="4"/>
      <c r="I1091" s="4"/>
    </row>
    <row r="1092" spans="2:10" x14ac:dyDescent="0.2">
      <c r="B1092">
        <v>68</v>
      </c>
      <c r="C1092" t="s">
        <v>571</v>
      </c>
      <c r="D1092" t="s">
        <v>1684</v>
      </c>
      <c r="E1092" s="5">
        <v>3.0000000000000001E-3</v>
      </c>
      <c r="F1092" s="5">
        <v>-4.2000000000000003E-2</v>
      </c>
      <c r="G1092" s="5">
        <v>-3.3000000000000002E-2</v>
      </c>
      <c r="H1092" t="s">
        <v>1871</v>
      </c>
      <c r="I1092" t="s">
        <v>1447</v>
      </c>
      <c r="J1092" t="s">
        <v>573</v>
      </c>
    </row>
    <row r="1093" spans="2:10" x14ac:dyDescent="0.2">
      <c r="C1093" t="s">
        <v>572</v>
      </c>
      <c r="D1093" s="6"/>
      <c r="E1093" s="5"/>
      <c r="F1093" s="5"/>
      <c r="G1093" s="5"/>
      <c r="H1093" s="4"/>
      <c r="I1093" s="4"/>
    </row>
    <row r="1094" spans="2:10" x14ac:dyDescent="0.2">
      <c r="B1094">
        <v>69</v>
      </c>
      <c r="C1094" t="s">
        <v>622</v>
      </c>
      <c r="D1094" t="s">
        <v>1685</v>
      </c>
      <c r="E1094" s="5">
        <v>-3.0000000000000001E-3</v>
      </c>
      <c r="F1094" s="5">
        <v>-1.9E-2</v>
      </c>
      <c r="G1094" s="5">
        <v>1.7000000000000001E-2</v>
      </c>
      <c r="H1094" t="s">
        <v>1686</v>
      </c>
      <c r="I1094" t="s">
        <v>1448</v>
      </c>
      <c r="J1094" t="s">
        <v>624</v>
      </c>
    </row>
    <row r="1095" spans="2:10" x14ac:dyDescent="0.2">
      <c r="C1095" t="s">
        <v>623</v>
      </c>
      <c r="D1095" s="6"/>
      <c r="E1095" s="5"/>
      <c r="F1095" s="5"/>
      <c r="G1095" s="5"/>
      <c r="H1095" s="4"/>
      <c r="I1095" s="4"/>
    </row>
    <row r="1096" spans="2:10" x14ac:dyDescent="0.2">
      <c r="B1096">
        <v>70</v>
      </c>
      <c r="C1096" t="s">
        <v>604</v>
      </c>
      <c r="D1096" t="s">
        <v>1872</v>
      </c>
      <c r="E1096" s="5">
        <v>-3.0000000000000001E-3</v>
      </c>
      <c r="F1096" s="5">
        <v>-3.2000000000000001E-2</v>
      </c>
      <c r="G1096" s="5">
        <v>3.0000000000000001E-3</v>
      </c>
      <c r="H1096" t="s">
        <v>1873</v>
      </c>
      <c r="I1096" t="s">
        <v>1449</v>
      </c>
      <c r="J1096" t="s">
        <v>606</v>
      </c>
    </row>
    <row r="1097" spans="2:10" x14ac:dyDescent="0.2">
      <c r="C1097" t="s">
        <v>605</v>
      </c>
      <c r="D1097" s="6"/>
      <c r="E1097" s="5"/>
      <c r="F1097" s="5"/>
      <c r="G1097" s="5"/>
      <c r="H1097" s="4"/>
      <c r="I1097" s="4"/>
    </row>
    <row r="1098" spans="2:10" x14ac:dyDescent="0.2">
      <c r="B1098">
        <v>71</v>
      </c>
      <c r="C1098" t="s">
        <v>607</v>
      </c>
      <c r="D1098" t="s">
        <v>1874</v>
      </c>
      <c r="E1098" s="5">
        <v>-3.0000000000000001E-3</v>
      </c>
      <c r="F1098" s="5">
        <v>-2.9000000000000001E-2</v>
      </c>
      <c r="G1098" s="5">
        <v>-1.2999999999999999E-2</v>
      </c>
      <c r="H1098" t="s">
        <v>1875</v>
      </c>
      <c r="I1098" t="s">
        <v>1450</v>
      </c>
      <c r="J1098" t="s">
        <v>609</v>
      </c>
    </row>
    <row r="1099" spans="2:10" x14ac:dyDescent="0.2">
      <c r="C1099" t="s">
        <v>608</v>
      </c>
      <c r="D1099" s="6"/>
      <c r="E1099" s="5"/>
      <c r="F1099" s="5"/>
      <c r="G1099" s="5"/>
      <c r="H1099" s="4"/>
      <c r="I1099" s="4"/>
    </row>
    <row r="1100" spans="2:10" x14ac:dyDescent="0.2">
      <c r="B1100">
        <v>72</v>
      </c>
      <c r="C1100" t="s">
        <v>589</v>
      </c>
      <c r="D1100" t="s">
        <v>1876</v>
      </c>
      <c r="E1100" s="5">
        <v>-3.0000000000000001E-3</v>
      </c>
      <c r="F1100" s="5">
        <v>8.9999999999999993E-3</v>
      </c>
      <c r="G1100" s="5">
        <v>-2.5999999999999999E-2</v>
      </c>
      <c r="H1100" t="s">
        <v>1877</v>
      </c>
      <c r="I1100" t="s">
        <v>1451</v>
      </c>
      <c r="J1100" t="s">
        <v>591</v>
      </c>
    </row>
    <row r="1101" spans="2:10" x14ac:dyDescent="0.2">
      <c r="C1101" t="s">
        <v>590</v>
      </c>
      <c r="D1101" s="6"/>
      <c r="E1101" s="5"/>
      <c r="F1101" s="5"/>
      <c r="G1101" s="5"/>
      <c r="H1101" s="4"/>
      <c r="I1101" s="4"/>
    </row>
    <row r="1102" spans="2:10" x14ac:dyDescent="0.2">
      <c r="B1102">
        <v>73</v>
      </c>
      <c r="C1102" t="s">
        <v>634</v>
      </c>
      <c r="D1102" t="s">
        <v>1878</v>
      </c>
      <c r="E1102" s="5">
        <v>2E-3</v>
      </c>
      <c r="F1102" s="5">
        <v>-2.5999999999999999E-2</v>
      </c>
      <c r="G1102" s="5">
        <v>0.13200000000000001</v>
      </c>
      <c r="H1102" t="s">
        <v>1879</v>
      </c>
      <c r="I1102" t="s">
        <v>1452</v>
      </c>
      <c r="J1102" t="s">
        <v>636</v>
      </c>
    </row>
    <row r="1103" spans="2:10" x14ac:dyDescent="0.2">
      <c r="C1103" t="s">
        <v>635</v>
      </c>
      <c r="D1103" s="4"/>
      <c r="E1103" s="5"/>
      <c r="F1103" s="5"/>
      <c r="G1103" s="5"/>
      <c r="H1103" s="4"/>
      <c r="I1103" s="4"/>
    </row>
    <row r="1104" spans="2:10" x14ac:dyDescent="0.2">
      <c r="B1104">
        <v>74</v>
      </c>
      <c r="C1104" t="s">
        <v>916</v>
      </c>
      <c r="D1104" t="s">
        <v>1880</v>
      </c>
      <c r="E1104" s="5">
        <v>1.2E-2</v>
      </c>
      <c r="F1104" s="5">
        <v>0.13100000000000001</v>
      </c>
      <c r="G1104" s="5">
        <v>0.13200000000000001</v>
      </c>
      <c r="H1104" t="s">
        <v>1881</v>
      </c>
      <c r="I1104" t="s">
        <v>1453</v>
      </c>
      <c r="J1104" t="s">
        <v>918</v>
      </c>
    </row>
    <row r="1105" spans="2:10" x14ac:dyDescent="0.2">
      <c r="C1105" t="s">
        <v>917</v>
      </c>
      <c r="D1105" s="6"/>
      <c r="E1105" s="5"/>
      <c r="F1105" s="5"/>
      <c r="G1105" s="5"/>
      <c r="H1105" s="4"/>
      <c r="I1105" s="4"/>
    </row>
    <row r="1106" spans="2:10" x14ac:dyDescent="0.2">
      <c r="B1106">
        <v>75</v>
      </c>
      <c r="C1106" t="s">
        <v>1021</v>
      </c>
      <c r="D1106" t="s">
        <v>1626</v>
      </c>
      <c r="E1106" s="5">
        <v>8.0000000000000002E-3</v>
      </c>
      <c r="F1106" s="5">
        <v>-6.0999999999999999E-2</v>
      </c>
      <c r="G1106" s="5">
        <v>0.52600000000000002</v>
      </c>
      <c r="H1106" t="s">
        <v>1627</v>
      </c>
      <c r="I1106" t="s">
        <v>1454</v>
      </c>
      <c r="J1106" t="s">
        <v>1023</v>
      </c>
    </row>
    <row r="1107" spans="2:10" x14ac:dyDescent="0.2">
      <c r="C1107" t="s">
        <v>1022</v>
      </c>
      <c r="D1107" s="6"/>
      <c r="E1107" s="5"/>
      <c r="F1107" s="5"/>
      <c r="G1107" s="5"/>
      <c r="H1107" s="4"/>
      <c r="I1107" s="4"/>
    </row>
    <row r="1108" spans="2:10" x14ac:dyDescent="0.2">
      <c r="B1108">
        <v>76</v>
      </c>
      <c r="C1108" t="s">
        <v>667</v>
      </c>
      <c r="D1108" t="s">
        <v>1882</v>
      </c>
      <c r="E1108" s="5">
        <v>-7.0000000000000001E-3</v>
      </c>
      <c r="F1108" s="5">
        <v>-5.7000000000000002E-2</v>
      </c>
      <c r="G1108" s="5">
        <v>0.184</v>
      </c>
      <c r="H1108" t="s">
        <v>1883</v>
      </c>
      <c r="I1108" t="s">
        <v>1884</v>
      </c>
      <c r="J1108" t="s">
        <v>669</v>
      </c>
    </row>
    <row r="1109" spans="2:10" x14ac:dyDescent="0.2">
      <c r="C1109" t="s">
        <v>668</v>
      </c>
      <c r="D1109" s="6"/>
      <c r="E1109" s="5"/>
      <c r="F1109" s="5"/>
      <c r="G1109" s="5"/>
      <c r="H1109" s="4"/>
      <c r="I1109" s="4"/>
    </row>
    <row r="1110" spans="2:10" x14ac:dyDescent="0.2">
      <c r="B1110">
        <v>77</v>
      </c>
      <c r="C1110" t="s">
        <v>760</v>
      </c>
      <c r="D1110" t="s">
        <v>1885</v>
      </c>
      <c r="E1110" s="5">
        <v>3.6999999999999998E-2</v>
      </c>
      <c r="F1110" s="5">
        <v>0.156</v>
      </c>
      <c r="G1110" s="5">
        <v>0.216</v>
      </c>
      <c r="H1110" t="s">
        <v>1886</v>
      </c>
      <c r="I1110" t="s">
        <v>1887</v>
      </c>
      <c r="J1110" t="s">
        <v>762</v>
      </c>
    </row>
    <row r="1111" spans="2:10" x14ac:dyDescent="0.2">
      <c r="C1111" t="s">
        <v>761</v>
      </c>
      <c r="D1111" s="6"/>
      <c r="E1111" s="5"/>
      <c r="F1111" s="5"/>
      <c r="G1111" s="5"/>
      <c r="H1111" s="4"/>
      <c r="I1111" s="4"/>
    </row>
    <row r="1112" spans="2:10" x14ac:dyDescent="0.2">
      <c r="B1112">
        <v>78</v>
      </c>
      <c r="C1112" t="s">
        <v>661</v>
      </c>
      <c r="D1112" t="s">
        <v>965</v>
      </c>
      <c r="E1112" s="5">
        <v>3.0000000000000001E-3</v>
      </c>
      <c r="F1112" s="5">
        <v>1E-3</v>
      </c>
      <c r="G1112" s="5">
        <v>7.0000000000000001E-3</v>
      </c>
      <c r="H1112" t="s">
        <v>1888</v>
      </c>
      <c r="I1112" t="s">
        <v>1455</v>
      </c>
      <c r="J1112" t="s">
        <v>663</v>
      </c>
    </row>
    <row r="1113" spans="2:10" x14ac:dyDescent="0.2">
      <c r="C1113" t="s">
        <v>662</v>
      </c>
      <c r="D1113" s="6"/>
      <c r="E1113" s="5"/>
      <c r="F1113" s="5"/>
      <c r="G1113" s="5"/>
      <c r="H1113" s="4"/>
      <c r="I1113" s="4"/>
    </row>
    <row r="1114" spans="2:10" x14ac:dyDescent="0.2">
      <c r="B1114">
        <v>79</v>
      </c>
      <c r="C1114" t="s">
        <v>619</v>
      </c>
      <c r="D1114" t="s">
        <v>1889</v>
      </c>
      <c r="E1114" s="5">
        <v>-2E-3</v>
      </c>
      <c r="F1114" s="5">
        <v>-1.9E-2</v>
      </c>
      <c r="G1114" s="5">
        <v>-2.3E-2</v>
      </c>
      <c r="H1114" t="s">
        <v>1890</v>
      </c>
      <c r="I1114" t="s">
        <v>1456</v>
      </c>
      <c r="J1114" t="s">
        <v>621</v>
      </c>
    </row>
    <row r="1115" spans="2:10" x14ac:dyDescent="0.2">
      <c r="C1115" t="s">
        <v>620</v>
      </c>
      <c r="D1115" s="6"/>
      <c r="E1115" s="5"/>
      <c r="F1115" s="5"/>
      <c r="G1115" s="5"/>
      <c r="H1115" s="4"/>
      <c r="I1115" s="4"/>
    </row>
    <row r="1116" spans="2:10" x14ac:dyDescent="0.2">
      <c r="B1116">
        <v>80</v>
      </c>
      <c r="C1116" t="s">
        <v>613</v>
      </c>
      <c r="D1116" t="s">
        <v>1891</v>
      </c>
      <c r="E1116" s="5">
        <v>-3.0000000000000001E-3</v>
      </c>
      <c r="F1116" s="5">
        <v>-1.6E-2</v>
      </c>
      <c r="G1116" s="5">
        <v>-5.0000000000000001E-3</v>
      </c>
      <c r="H1116" t="s">
        <v>1892</v>
      </c>
      <c r="I1116" t="s">
        <v>1893</v>
      </c>
      <c r="J1116" t="s">
        <v>615</v>
      </c>
    </row>
    <row r="1117" spans="2:10" x14ac:dyDescent="0.2">
      <c r="C1117" t="s">
        <v>614</v>
      </c>
      <c r="D1117" s="4"/>
      <c r="E1117" s="5"/>
      <c r="F1117" s="5"/>
      <c r="G1117" s="5"/>
      <c r="H1117" s="4"/>
      <c r="I1117" s="4"/>
    </row>
    <row r="1118" spans="2:10" x14ac:dyDescent="0.2">
      <c r="B1118">
        <v>81</v>
      </c>
      <c r="C1118" t="s">
        <v>610</v>
      </c>
      <c r="D1118" t="s">
        <v>1894</v>
      </c>
      <c r="E1118" s="5">
        <v>-4.0000000000000001E-3</v>
      </c>
      <c r="F1118" s="5">
        <v>-0.01</v>
      </c>
      <c r="G1118" s="5">
        <v>-2.3E-2</v>
      </c>
      <c r="H1118" t="s">
        <v>1895</v>
      </c>
      <c r="I1118" t="s">
        <v>1896</v>
      </c>
      <c r="J1118" t="s">
        <v>612</v>
      </c>
    </row>
    <row r="1119" spans="2:10" x14ac:dyDescent="0.2">
      <c r="C1119" t="s">
        <v>611</v>
      </c>
      <c r="D1119" s="6"/>
      <c r="E1119" s="5"/>
      <c r="F1119" s="5"/>
      <c r="G1119" s="5"/>
      <c r="H1119" s="4"/>
      <c r="I1119" s="4"/>
    </row>
    <row r="1120" spans="2:10" x14ac:dyDescent="0.2">
      <c r="B1120">
        <v>82</v>
      </c>
      <c r="C1120" t="s">
        <v>601</v>
      </c>
      <c r="D1120" t="s">
        <v>1897</v>
      </c>
      <c r="E1120" s="5">
        <v>4.0000000000000001E-3</v>
      </c>
      <c r="F1120" s="5">
        <v>-3.0000000000000001E-3</v>
      </c>
      <c r="G1120" s="5">
        <v>-6.2E-2</v>
      </c>
      <c r="H1120" t="s">
        <v>1898</v>
      </c>
      <c r="I1120" t="s">
        <v>1457</v>
      </c>
      <c r="J1120" t="s">
        <v>603</v>
      </c>
    </row>
    <row r="1121" spans="2:10" x14ac:dyDescent="0.2">
      <c r="C1121" t="s">
        <v>602</v>
      </c>
      <c r="D1121" s="6"/>
      <c r="E1121" s="5"/>
      <c r="F1121" s="5"/>
      <c r="G1121" s="5"/>
      <c r="H1121" s="4"/>
      <c r="I1121" s="4"/>
    </row>
    <row r="1122" spans="2:10" x14ac:dyDescent="0.2">
      <c r="B1122">
        <v>83</v>
      </c>
      <c r="C1122" t="s">
        <v>592</v>
      </c>
      <c r="D1122" t="s">
        <v>1687</v>
      </c>
      <c r="E1122" s="5">
        <v>1.4999999999999999E-2</v>
      </c>
      <c r="F1122" s="5">
        <v>0.03</v>
      </c>
      <c r="G1122" s="5">
        <v>-0.31</v>
      </c>
      <c r="H1122" t="s">
        <v>1899</v>
      </c>
      <c r="I1122" t="s">
        <v>1458</v>
      </c>
      <c r="J1122" t="s">
        <v>594</v>
      </c>
    </row>
    <row r="1123" spans="2:10" x14ac:dyDescent="0.2">
      <c r="C1123" t="s">
        <v>593</v>
      </c>
      <c r="D1123" s="6"/>
      <c r="E1123" s="5"/>
      <c r="F1123" s="5"/>
      <c r="G1123" s="5"/>
      <c r="H1123" s="4"/>
      <c r="I1123" s="4"/>
    </row>
    <row r="1124" spans="2:10" x14ac:dyDescent="0.2">
      <c r="B1124">
        <v>84</v>
      </c>
      <c r="C1124" t="s">
        <v>970</v>
      </c>
      <c r="D1124" t="s">
        <v>1900</v>
      </c>
      <c r="E1124" s="5">
        <v>-1.4E-2</v>
      </c>
      <c r="F1124" s="5">
        <v>0.107</v>
      </c>
      <c r="G1124" s="5">
        <v>0.97799999999999998</v>
      </c>
      <c r="H1124" t="s">
        <v>1901</v>
      </c>
      <c r="I1124" t="s">
        <v>1459</v>
      </c>
      <c r="J1124" t="s">
        <v>972</v>
      </c>
    </row>
    <row r="1125" spans="2:10" x14ac:dyDescent="0.2">
      <c r="C1125" t="s">
        <v>971</v>
      </c>
      <c r="D1125" s="6"/>
      <c r="E1125" s="5"/>
      <c r="F1125" s="5"/>
      <c r="G1125" s="5"/>
      <c r="H1125" s="4"/>
      <c r="I1125" s="4"/>
    </row>
    <row r="1126" spans="2:10" x14ac:dyDescent="0.2">
      <c r="B1126">
        <v>85</v>
      </c>
      <c r="C1126" t="s">
        <v>616</v>
      </c>
      <c r="D1126" t="s">
        <v>1902</v>
      </c>
      <c r="E1126" s="5">
        <v>3.0000000000000001E-3</v>
      </c>
      <c r="F1126" s="5">
        <v>-1.7999999999999999E-2</v>
      </c>
      <c r="G1126" s="5">
        <v>-3.7999999999999999E-2</v>
      </c>
      <c r="H1126" t="s">
        <v>1903</v>
      </c>
      <c r="I1126" t="s">
        <v>1460</v>
      </c>
      <c r="J1126" t="s">
        <v>618</v>
      </c>
    </row>
    <row r="1127" spans="2:10" x14ac:dyDescent="0.2">
      <c r="C1127" t="s">
        <v>617</v>
      </c>
      <c r="D1127" s="6"/>
      <c r="E1127" s="5"/>
      <c r="F1127" s="5"/>
      <c r="G1127" s="5"/>
      <c r="H1127" s="4"/>
      <c r="I1127" s="4"/>
    </row>
    <row r="1128" spans="2:10" x14ac:dyDescent="0.2">
      <c r="B1128">
        <v>86</v>
      </c>
      <c r="C1128" t="s">
        <v>649</v>
      </c>
      <c r="D1128" t="s">
        <v>1904</v>
      </c>
      <c r="E1128" s="5">
        <v>-3.0000000000000001E-3</v>
      </c>
      <c r="F1128" s="5">
        <v>-1.9E-2</v>
      </c>
      <c r="G1128" s="5">
        <v>1.7999999999999999E-2</v>
      </c>
      <c r="H1128" t="s">
        <v>1905</v>
      </c>
      <c r="I1128" t="s">
        <v>1906</v>
      </c>
      <c r="J1128" t="s">
        <v>651</v>
      </c>
    </row>
    <row r="1129" spans="2:10" x14ac:dyDescent="0.2">
      <c r="C1129" t="s">
        <v>650</v>
      </c>
      <c r="D1129" s="6"/>
      <c r="E1129" s="5"/>
      <c r="F1129" s="5"/>
      <c r="G1129" s="5"/>
      <c r="H1129" s="4"/>
      <c r="I1129" s="4"/>
    </row>
    <row r="1130" spans="2:10" x14ac:dyDescent="0.2">
      <c r="B1130">
        <v>87</v>
      </c>
      <c r="C1130" t="s">
        <v>631</v>
      </c>
      <c r="D1130" t="s">
        <v>1907</v>
      </c>
      <c r="E1130" s="5">
        <v>-8.0000000000000002E-3</v>
      </c>
      <c r="F1130" s="5">
        <v>-1.6E-2</v>
      </c>
      <c r="G1130" s="5">
        <v>-0.06</v>
      </c>
      <c r="H1130" t="s">
        <v>1908</v>
      </c>
      <c r="I1130" t="s">
        <v>1909</v>
      </c>
      <c r="J1130" t="s">
        <v>633</v>
      </c>
    </row>
    <row r="1131" spans="2:10" x14ac:dyDescent="0.2">
      <c r="C1131" t="s">
        <v>632</v>
      </c>
      <c r="D1131" s="6"/>
      <c r="E1131" s="5"/>
      <c r="F1131" s="5"/>
      <c r="G1131" s="5"/>
      <c r="H1131" s="4"/>
      <c r="I1131" s="4"/>
    </row>
    <row r="1132" spans="2:10" x14ac:dyDescent="0.2">
      <c r="B1132">
        <v>88</v>
      </c>
      <c r="C1132" t="s">
        <v>628</v>
      </c>
      <c r="D1132" t="s">
        <v>1910</v>
      </c>
      <c r="E1132" s="5">
        <v>-2E-3</v>
      </c>
      <c r="F1132" s="5">
        <v>-8.0000000000000002E-3</v>
      </c>
      <c r="G1132" s="5">
        <v>-6.7000000000000004E-2</v>
      </c>
      <c r="H1132" t="s">
        <v>1911</v>
      </c>
      <c r="I1132" t="s">
        <v>1461</v>
      </c>
      <c r="J1132" t="s">
        <v>630</v>
      </c>
    </row>
    <row r="1133" spans="2:10" x14ac:dyDescent="0.2">
      <c r="C1133" t="s">
        <v>629</v>
      </c>
      <c r="D1133" s="6"/>
      <c r="E1133" s="5"/>
      <c r="F1133" s="5"/>
      <c r="G1133" s="5"/>
      <c r="H1133" s="4"/>
      <c r="I1133" s="4"/>
    </row>
    <row r="1134" spans="2:10" x14ac:dyDescent="0.2">
      <c r="B1134">
        <v>90</v>
      </c>
      <c r="C1134" t="s">
        <v>625</v>
      </c>
      <c r="D1134" t="s">
        <v>1628</v>
      </c>
      <c r="E1134" s="5">
        <v>-2E-3</v>
      </c>
      <c r="F1134" s="5">
        <v>-0.02</v>
      </c>
      <c r="G1134" s="5">
        <v>-3.0000000000000001E-3</v>
      </c>
      <c r="H1134" t="s">
        <v>1912</v>
      </c>
      <c r="I1134" t="s">
        <v>1462</v>
      </c>
      <c r="J1134" t="s">
        <v>627</v>
      </c>
    </row>
    <row r="1135" spans="2:10" x14ac:dyDescent="0.2">
      <c r="C1135" t="s">
        <v>626</v>
      </c>
      <c r="D1135" s="6"/>
      <c r="E1135" s="5"/>
      <c r="F1135" s="5"/>
      <c r="G1135" s="5"/>
      <c r="H1135" s="4"/>
      <c r="I1135" s="4"/>
    </row>
    <row r="1136" spans="2:10" x14ac:dyDescent="0.2">
      <c r="B1136">
        <v>89</v>
      </c>
      <c r="C1136" t="s">
        <v>775</v>
      </c>
      <c r="D1136" t="s">
        <v>1913</v>
      </c>
      <c r="E1136" s="5">
        <v>-8.0000000000000002E-3</v>
      </c>
      <c r="F1136" s="5">
        <v>-0.01</v>
      </c>
      <c r="G1136" s="5">
        <v>-3.0000000000000001E-3</v>
      </c>
      <c r="H1136" t="s">
        <v>1914</v>
      </c>
      <c r="I1136" t="s">
        <v>1915</v>
      </c>
      <c r="J1136" t="s">
        <v>777</v>
      </c>
    </row>
    <row r="1137" spans="2:10" x14ac:dyDescent="0.2">
      <c r="C1137" t="s">
        <v>776</v>
      </c>
      <c r="D1137" s="6"/>
      <c r="E1137" s="5"/>
      <c r="F1137" s="5"/>
      <c r="G1137" s="5"/>
      <c r="H1137" s="4"/>
      <c r="I1137" s="4"/>
    </row>
    <row r="1138" spans="2:10" x14ac:dyDescent="0.2">
      <c r="B1138">
        <v>92</v>
      </c>
      <c r="C1138" t="s">
        <v>778</v>
      </c>
      <c r="D1138" t="s">
        <v>965</v>
      </c>
      <c r="E1138" s="5">
        <v>3.0000000000000001E-3</v>
      </c>
      <c r="F1138" s="5">
        <v>0</v>
      </c>
      <c r="G1138" s="5">
        <v>1E-3</v>
      </c>
      <c r="H1138" t="s">
        <v>1916</v>
      </c>
      <c r="I1138" t="s">
        <v>1917</v>
      </c>
      <c r="J1138" t="s">
        <v>780</v>
      </c>
    </row>
    <row r="1139" spans="2:10" x14ac:dyDescent="0.2">
      <c r="C1139" t="s">
        <v>779</v>
      </c>
      <c r="D1139" s="6"/>
      <c r="E1139" s="5"/>
      <c r="F1139" s="5"/>
      <c r="G1139" s="5"/>
      <c r="H1139" s="4"/>
      <c r="I1139" s="4"/>
    </row>
    <row r="1140" spans="2:10" x14ac:dyDescent="0.2">
      <c r="B1140">
        <v>91</v>
      </c>
      <c r="C1140" t="s">
        <v>637</v>
      </c>
      <c r="D1140" t="s">
        <v>1918</v>
      </c>
      <c r="E1140" s="5">
        <v>-2.1000000000000001E-2</v>
      </c>
      <c r="F1140" s="5">
        <v>3.5999999999999997E-2</v>
      </c>
      <c r="G1140" s="5">
        <v>-2E-3</v>
      </c>
      <c r="H1140" t="s">
        <v>1919</v>
      </c>
      <c r="I1140" t="s">
        <v>1920</v>
      </c>
      <c r="J1140" t="s">
        <v>639</v>
      </c>
    </row>
    <row r="1141" spans="2:10" x14ac:dyDescent="0.2">
      <c r="C1141" t="s">
        <v>638</v>
      </c>
      <c r="D1141" s="6"/>
      <c r="E1141" s="5"/>
      <c r="F1141" s="5"/>
      <c r="G1141" s="5"/>
      <c r="H1141" s="4"/>
      <c r="I1141" s="4"/>
    </row>
    <row r="1142" spans="2:10" x14ac:dyDescent="0.2">
      <c r="B1142">
        <v>93</v>
      </c>
      <c r="C1142" t="s">
        <v>643</v>
      </c>
      <c r="D1142" t="s">
        <v>1921</v>
      </c>
      <c r="E1142" s="5">
        <v>1E-3</v>
      </c>
      <c r="F1142" s="5">
        <v>-2.3E-2</v>
      </c>
      <c r="G1142" s="5">
        <v>4.1000000000000002E-2</v>
      </c>
      <c r="H1142" t="s">
        <v>1922</v>
      </c>
      <c r="I1142" t="s">
        <v>1463</v>
      </c>
      <c r="J1142" t="s">
        <v>645</v>
      </c>
    </row>
    <row r="1143" spans="2:10" x14ac:dyDescent="0.2">
      <c r="C1143" t="s">
        <v>644</v>
      </c>
      <c r="D1143" s="6"/>
      <c r="E1143" s="5"/>
      <c r="F1143" s="5"/>
      <c r="G1143" s="5"/>
      <c r="H1143" s="4"/>
      <c r="I1143" s="4"/>
    </row>
    <row r="1144" spans="2:10" x14ac:dyDescent="0.2">
      <c r="B1144">
        <v>94</v>
      </c>
      <c r="C1144" t="s">
        <v>640</v>
      </c>
      <c r="D1144" t="s">
        <v>1923</v>
      </c>
      <c r="E1144" s="5">
        <v>-7.0000000000000001E-3</v>
      </c>
      <c r="F1144" s="5">
        <v>-3.5999999999999997E-2</v>
      </c>
      <c r="G1144" s="5">
        <v>-3.5000000000000003E-2</v>
      </c>
      <c r="H1144" t="s">
        <v>1924</v>
      </c>
      <c r="I1144" t="s">
        <v>1464</v>
      </c>
      <c r="J1144" t="s">
        <v>642</v>
      </c>
    </row>
    <row r="1145" spans="2:10" x14ac:dyDescent="0.2">
      <c r="C1145" t="s">
        <v>641</v>
      </c>
      <c r="D1145" s="6"/>
      <c r="E1145" s="5"/>
      <c r="F1145" s="5"/>
      <c r="G1145" s="5"/>
      <c r="H1145" s="4"/>
      <c r="I1145" s="4"/>
    </row>
    <row r="1146" spans="2:10" x14ac:dyDescent="0.2">
      <c r="B1146">
        <v>95</v>
      </c>
      <c r="C1146" t="s">
        <v>808</v>
      </c>
      <c r="D1146" t="s">
        <v>1688</v>
      </c>
      <c r="E1146" s="5">
        <v>-1E-3</v>
      </c>
      <c r="F1146" s="5">
        <v>-2.5000000000000001E-2</v>
      </c>
      <c r="G1146" s="5">
        <v>-5.6000000000000001E-2</v>
      </c>
      <c r="H1146" t="s">
        <v>1925</v>
      </c>
      <c r="I1146" t="s">
        <v>1465</v>
      </c>
      <c r="J1146" t="s">
        <v>810</v>
      </c>
    </row>
    <row r="1147" spans="2:10" x14ac:dyDescent="0.2">
      <c r="C1147" t="s">
        <v>809</v>
      </c>
      <c r="D1147" s="6"/>
      <c r="E1147" s="5"/>
      <c r="F1147" s="5"/>
      <c r="G1147" s="5"/>
      <c r="H1147" s="4"/>
      <c r="I1147" s="4"/>
    </row>
    <row r="1148" spans="2:10" x14ac:dyDescent="0.2">
      <c r="B1148">
        <v>96</v>
      </c>
      <c r="C1148" t="s">
        <v>691</v>
      </c>
      <c r="D1148" t="s">
        <v>1372</v>
      </c>
      <c r="E1148" s="5">
        <v>2E-3</v>
      </c>
      <c r="F1148" s="5">
        <v>-2.7E-2</v>
      </c>
      <c r="G1148" s="5">
        <v>-3.3000000000000002E-2</v>
      </c>
      <c r="H1148" t="s">
        <v>1926</v>
      </c>
      <c r="I1148" t="s">
        <v>1466</v>
      </c>
      <c r="J1148" t="s">
        <v>693</v>
      </c>
    </row>
    <row r="1149" spans="2:10" x14ac:dyDescent="0.2">
      <c r="C1149" t="s">
        <v>692</v>
      </c>
      <c r="D1149" s="6"/>
      <c r="E1149" s="5"/>
      <c r="F1149" s="5"/>
      <c r="G1149" s="5"/>
      <c r="H1149" s="4"/>
      <c r="I1149" s="4"/>
    </row>
    <row r="1150" spans="2:10" x14ac:dyDescent="0.2">
      <c r="B1150">
        <v>97</v>
      </c>
      <c r="C1150" t="s">
        <v>934</v>
      </c>
      <c r="D1150" t="s">
        <v>1927</v>
      </c>
      <c r="E1150" s="5">
        <v>-7.0000000000000001E-3</v>
      </c>
      <c r="F1150" s="5">
        <v>-0.03</v>
      </c>
      <c r="G1150" s="5">
        <v>-2.8000000000000001E-2</v>
      </c>
      <c r="H1150" t="s">
        <v>1928</v>
      </c>
      <c r="I1150" t="s">
        <v>1929</v>
      </c>
      <c r="J1150" t="s">
        <v>936</v>
      </c>
    </row>
    <row r="1151" spans="2:10" x14ac:dyDescent="0.2">
      <c r="C1151" t="s">
        <v>935</v>
      </c>
      <c r="D1151" s="6"/>
      <c r="E1151" s="5"/>
      <c r="F1151" s="5"/>
      <c r="G1151" s="5"/>
      <c r="H1151" s="4"/>
      <c r="I1151" s="4"/>
    </row>
    <row r="1152" spans="2:10" x14ac:dyDescent="0.2">
      <c r="B1152">
        <v>98</v>
      </c>
      <c r="C1152" t="s">
        <v>850</v>
      </c>
      <c r="D1152" t="s">
        <v>1613</v>
      </c>
      <c r="E1152" s="5">
        <v>-8.9999999999999993E-3</v>
      </c>
      <c r="F1152" s="5">
        <v>-6.8000000000000005E-2</v>
      </c>
      <c r="G1152" s="5">
        <v>-5.0000000000000001E-3</v>
      </c>
      <c r="H1152" t="s">
        <v>1629</v>
      </c>
      <c r="I1152" t="s">
        <v>1467</v>
      </c>
      <c r="J1152" t="s">
        <v>852</v>
      </c>
    </row>
    <row r="1153" spans="1:10" x14ac:dyDescent="0.2">
      <c r="C1153" t="s">
        <v>851</v>
      </c>
      <c r="E1153" s="5"/>
      <c r="F1153" s="5"/>
      <c r="G1153" s="5"/>
    </row>
    <row r="1154" spans="1:10" x14ac:dyDescent="0.2">
      <c r="B1154">
        <v>99</v>
      </c>
      <c r="C1154" t="s">
        <v>646</v>
      </c>
      <c r="D1154" t="s">
        <v>1930</v>
      </c>
      <c r="E1154" s="5">
        <v>2E-3</v>
      </c>
      <c r="F1154" s="5">
        <v>-1.7000000000000001E-2</v>
      </c>
      <c r="G1154" s="5">
        <v>-4.2000000000000003E-2</v>
      </c>
      <c r="H1154" t="s">
        <v>1931</v>
      </c>
      <c r="I1154" t="s">
        <v>1468</v>
      </c>
      <c r="J1154" t="s">
        <v>648</v>
      </c>
    </row>
    <row r="1155" spans="1:10" x14ac:dyDescent="0.2">
      <c r="C1155" t="s">
        <v>647</v>
      </c>
      <c r="E1155" s="5"/>
      <c r="F1155" s="5"/>
      <c r="G1155" s="5"/>
    </row>
    <row r="1156" spans="1:10" x14ac:dyDescent="0.2">
      <c r="B1156">
        <v>100</v>
      </c>
      <c r="C1156" t="s">
        <v>652</v>
      </c>
      <c r="D1156" t="s">
        <v>1932</v>
      </c>
      <c r="E1156" s="5">
        <v>-3.0000000000000001E-3</v>
      </c>
      <c r="F1156" s="5">
        <v>-3.4000000000000002E-2</v>
      </c>
      <c r="G1156" s="5">
        <v>2.4E-2</v>
      </c>
      <c r="H1156" t="s">
        <v>1933</v>
      </c>
      <c r="I1156" t="s">
        <v>1469</v>
      </c>
      <c r="J1156" t="s">
        <v>654</v>
      </c>
    </row>
    <row r="1157" spans="1:10" x14ac:dyDescent="0.2">
      <c r="C1157" t="s">
        <v>653</v>
      </c>
      <c r="E1157" s="5"/>
      <c r="F1157" s="5"/>
      <c r="G1157" s="5"/>
    </row>
    <row r="1159" spans="1:10" x14ac:dyDescent="0.2">
      <c r="A1159" t="s">
        <v>697</v>
      </c>
    </row>
    <row r="1160" spans="1:10" x14ac:dyDescent="0.2">
      <c r="A1160">
        <v>1</v>
      </c>
    </row>
    <row r="1161" spans="1:10" x14ac:dyDescent="0.2">
      <c r="A1161">
        <v>2</v>
      </c>
    </row>
    <row r="1162" spans="1:10" x14ac:dyDescent="0.2">
      <c r="A1162">
        <v>3</v>
      </c>
    </row>
    <row r="1163" spans="1:10" x14ac:dyDescent="0.2">
      <c r="A1163">
        <v>4</v>
      </c>
    </row>
    <row r="1164" spans="1:10" x14ac:dyDescent="0.2">
      <c r="A1164">
        <v>5</v>
      </c>
    </row>
    <row r="1165" spans="1:10" x14ac:dyDescent="0.2">
      <c r="A1165" s="7" t="s">
        <v>698</v>
      </c>
    </row>
    <row r="1166" spans="1:10" x14ac:dyDescent="0.2">
      <c r="A1166" s="7">
        <v>95</v>
      </c>
    </row>
    <row r="1167" spans="1:10" x14ac:dyDescent="0.2">
      <c r="A1167" s="7" t="s">
        <v>699</v>
      </c>
    </row>
    <row r="1168" spans="1:10" x14ac:dyDescent="0.2">
      <c r="A1168" s="7"/>
    </row>
    <row r="1169" spans="1:1" x14ac:dyDescent="0.2">
      <c r="A1169" s="7" t="s">
        <v>700</v>
      </c>
    </row>
    <row r="1170" spans="1:1" x14ac:dyDescent="0.2">
      <c r="A1170" s="7">
        <v>44228</v>
      </c>
    </row>
    <row r="1171" spans="1:1" x14ac:dyDescent="0.2">
      <c r="A1171" s="7" t="s">
        <v>1034</v>
      </c>
    </row>
    <row r="1172" spans="1:1" x14ac:dyDescent="0.2">
      <c r="A1172" t="s">
        <v>1630</v>
      </c>
    </row>
    <row r="1173" spans="1:1" x14ac:dyDescent="0.2">
      <c r="A1173" t="s">
        <v>1396</v>
      </c>
    </row>
    <row r="1174" spans="1:1" x14ac:dyDescent="0.2">
      <c r="A1174" t="s">
        <v>1631</v>
      </c>
    </row>
    <row r="1175" spans="1:1" x14ac:dyDescent="0.2">
      <c r="A1175" t="s">
        <v>1397</v>
      </c>
    </row>
    <row r="1176" spans="1:1" x14ac:dyDescent="0.2">
      <c r="A1176" t="s">
        <v>1632</v>
      </c>
    </row>
    <row r="1177" spans="1:1" x14ac:dyDescent="0.2">
      <c r="A1177" t="s">
        <v>966</v>
      </c>
    </row>
    <row r="1178" spans="1:1" x14ac:dyDescent="0.2">
      <c r="A1178" t="s">
        <v>1633</v>
      </c>
    </row>
    <row r="1179" spans="1:1" x14ac:dyDescent="0.2">
      <c r="A1179" t="s">
        <v>1399</v>
      </c>
    </row>
    <row r="1180" spans="1:1" x14ac:dyDescent="0.2">
      <c r="A1180" t="s">
        <v>1634</v>
      </c>
    </row>
    <row r="1181" spans="1:1" x14ac:dyDescent="0.2">
      <c r="A1181" t="s">
        <v>1398</v>
      </c>
    </row>
    <row r="1182" spans="1:1" x14ac:dyDescent="0.2">
      <c r="A1182" t="s">
        <v>1635</v>
      </c>
    </row>
    <row r="1183" spans="1:1" x14ac:dyDescent="0.2">
      <c r="A1183" t="s">
        <v>96</v>
      </c>
    </row>
    <row r="1184" spans="1:1" x14ac:dyDescent="0.2">
      <c r="A1184" t="s">
        <v>1636</v>
      </c>
    </row>
    <row r="1185" spans="1:1" x14ac:dyDescent="0.2">
      <c r="A1185" t="s">
        <v>701</v>
      </c>
    </row>
    <row r="1186" spans="1:1" x14ac:dyDescent="0.2">
      <c r="A1186" t="s">
        <v>701</v>
      </c>
    </row>
    <row r="1187" spans="1:1" x14ac:dyDescent="0.2">
      <c r="A1187" t="s">
        <v>702</v>
      </c>
    </row>
    <row r="1188" spans="1:1" x14ac:dyDescent="0.2">
      <c r="A1188" t="s">
        <v>703</v>
      </c>
    </row>
    <row r="1190" spans="1:1" x14ac:dyDescent="0.2">
      <c r="A1190" t="s">
        <v>704</v>
      </c>
    </row>
    <row r="1192" spans="1:1" x14ac:dyDescent="0.2">
      <c r="A1192" t="s">
        <v>705</v>
      </c>
    </row>
    <row r="1194" spans="1:1" x14ac:dyDescent="0.2">
      <c r="A1194" t="s">
        <v>706</v>
      </c>
    </row>
    <row r="1196" spans="1:1" x14ac:dyDescent="0.2">
      <c r="A1196" t="s">
        <v>707</v>
      </c>
    </row>
    <row r="1198" spans="1:1" x14ac:dyDescent="0.2">
      <c r="A1198" t="s">
        <v>708</v>
      </c>
    </row>
    <row r="1200" spans="1:1" x14ac:dyDescent="0.2">
      <c r="A1200" t="s">
        <v>709</v>
      </c>
    </row>
    <row r="1202" spans="1:1" x14ac:dyDescent="0.2">
      <c r="A1202" t="s">
        <v>710</v>
      </c>
    </row>
    <row r="1204" spans="1:1" x14ac:dyDescent="0.2">
      <c r="A1204" t="s">
        <v>711</v>
      </c>
    </row>
    <row r="1205" spans="1:1" x14ac:dyDescent="0.2">
      <c r="A1205" t="s">
        <v>712</v>
      </c>
    </row>
    <row r="1206" spans="1:1" x14ac:dyDescent="0.2">
      <c r="A1206" t="s">
        <v>713</v>
      </c>
    </row>
    <row r="1207" spans="1:1" x14ac:dyDescent="0.2">
      <c r="A1207" t="s">
        <v>714</v>
      </c>
    </row>
    <row r="1208" spans="1:1" x14ac:dyDescent="0.2">
      <c r="A1208" t="s">
        <v>715</v>
      </c>
    </row>
    <row r="1209" spans="1:1" x14ac:dyDescent="0.2">
      <c r="A1209" t="s">
        <v>716</v>
      </c>
    </row>
    <row r="1212" spans="1:1" x14ac:dyDescent="0.2">
      <c r="A1212" t="s">
        <v>717</v>
      </c>
    </row>
    <row r="1213" spans="1:1" x14ac:dyDescent="0.2">
      <c r="A1213" t="s">
        <v>718</v>
      </c>
    </row>
    <row r="1214" spans="1:1" x14ac:dyDescent="0.2">
      <c r="A1214" t="s">
        <v>719</v>
      </c>
    </row>
    <row r="1215" spans="1:1" x14ac:dyDescent="0.2">
      <c r="A1215" t="s">
        <v>712</v>
      </c>
    </row>
    <row r="1216" spans="1:1" x14ac:dyDescent="0.2">
      <c r="A1216" t="s">
        <v>720</v>
      </c>
    </row>
    <row r="1217" spans="1:1" x14ac:dyDescent="0.2">
      <c r="A1217" t="s">
        <v>721</v>
      </c>
    </row>
    <row r="1218" spans="1:1" x14ac:dyDescent="0.2">
      <c r="A1218" t="s">
        <v>722</v>
      </c>
    </row>
    <row r="1219" spans="1:1" x14ac:dyDescent="0.2">
      <c r="A1219" t="s">
        <v>712</v>
      </c>
    </row>
    <row r="1220" spans="1:1" x14ac:dyDescent="0.2">
      <c r="A1220" t="s">
        <v>720</v>
      </c>
    </row>
    <row r="1223" spans="1:1" x14ac:dyDescent="0.2">
      <c r="A1223" t="s">
        <v>723</v>
      </c>
    </row>
    <row r="1224" spans="1:1" x14ac:dyDescent="0.2">
      <c r="A1224" t="s">
        <v>712</v>
      </c>
    </row>
    <row r="1225" spans="1:1" x14ac:dyDescent="0.2">
      <c r="A1225" t="s">
        <v>991</v>
      </c>
    </row>
    <row r="1227" spans="1:1" x14ac:dyDescent="0.2">
      <c r="A1227" t="s">
        <v>724</v>
      </c>
    </row>
    <row r="1229" spans="1:1" x14ac:dyDescent="0.2">
      <c r="A1229" t="s">
        <v>725</v>
      </c>
    </row>
    <row r="1230" spans="1:1" x14ac:dyDescent="0.2">
      <c r="A1230" t="s">
        <v>726</v>
      </c>
    </row>
    <row r="1231" spans="1:1" x14ac:dyDescent="0.2">
      <c r="A1231" t="s">
        <v>727</v>
      </c>
    </row>
    <row r="1234" spans="1:1" x14ac:dyDescent="0.2">
      <c r="A1234" t="s">
        <v>728</v>
      </c>
    </row>
    <row r="1236" spans="1:1" x14ac:dyDescent="0.2">
      <c r="A1236" t="s">
        <v>729</v>
      </c>
    </row>
    <row r="1237" spans="1:1" x14ac:dyDescent="0.2">
      <c r="A1237" t="s">
        <v>1035</v>
      </c>
    </row>
    <row r="1238" spans="1:1" x14ac:dyDescent="0.2">
      <c r="A1238" t="s">
        <v>1036</v>
      </c>
    </row>
    <row r="1239" spans="1:1" x14ac:dyDescent="0.2">
      <c r="A1239" t="s">
        <v>1037</v>
      </c>
    </row>
    <row r="1240" spans="1:1" x14ac:dyDescent="0.2">
      <c r="A1240" t="s">
        <v>730</v>
      </c>
    </row>
    <row r="1241" spans="1:1" x14ac:dyDescent="0.2">
      <c r="A1241" t="s">
        <v>1038</v>
      </c>
    </row>
    <row r="1242" spans="1:1" x14ac:dyDescent="0.2">
      <c r="A1242" t="s">
        <v>1039</v>
      </c>
    </row>
    <row r="1243" spans="1:1" x14ac:dyDescent="0.2">
      <c r="A1243" t="s">
        <v>1040</v>
      </c>
    </row>
    <row r="1244" spans="1:1" x14ac:dyDescent="0.2">
      <c r="A1244" t="s">
        <v>1041</v>
      </c>
    </row>
    <row r="1245" spans="1:1" x14ac:dyDescent="0.2">
      <c r="A1245" t="s">
        <v>1042</v>
      </c>
    </row>
    <row r="1246" spans="1:1" x14ac:dyDescent="0.2">
      <c r="A1246" t="s">
        <v>1043</v>
      </c>
    </row>
    <row r="1247" spans="1:1" x14ac:dyDescent="0.2">
      <c r="A1247" t="s">
        <v>1044</v>
      </c>
    </row>
    <row r="1248" spans="1:1" x14ac:dyDescent="0.2">
      <c r="A1248" t="s">
        <v>1045</v>
      </c>
    </row>
    <row r="1249" spans="1:1" x14ac:dyDescent="0.2">
      <c r="A1249" t="s">
        <v>1046</v>
      </c>
    </row>
    <row r="1250" spans="1:1" x14ac:dyDescent="0.2">
      <c r="A1250" t="s">
        <v>1047</v>
      </c>
    </row>
    <row r="1251" spans="1:1" x14ac:dyDescent="0.2">
      <c r="A1251" t="s">
        <v>1048</v>
      </c>
    </row>
    <row r="1252" spans="1:1" x14ac:dyDescent="0.2">
      <c r="A1252" t="s">
        <v>731</v>
      </c>
    </row>
    <row r="1253" spans="1:1" x14ac:dyDescent="0.2">
      <c r="A1253" t="s">
        <v>1049</v>
      </c>
    </row>
    <row r="1254" spans="1:1" x14ac:dyDescent="0.2">
      <c r="A1254" t="s">
        <v>732</v>
      </c>
    </row>
    <row r="1255" spans="1:1" x14ac:dyDescent="0.2">
      <c r="A1255" t="s">
        <v>733</v>
      </c>
    </row>
    <row r="1258" spans="1:1" x14ac:dyDescent="0.2">
      <c r="A1258" t="s">
        <v>734</v>
      </c>
    </row>
    <row r="1259" spans="1:1" x14ac:dyDescent="0.2">
      <c r="A1259" t="s">
        <v>1050</v>
      </c>
    </row>
    <row r="1260" spans="1:1" x14ac:dyDescent="0.2">
      <c r="A1260" t="s">
        <v>735</v>
      </c>
    </row>
    <row r="1261" spans="1:1" x14ac:dyDescent="0.2">
      <c r="A1261" t="s">
        <v>736</v>
      </c>
    </row>
    <row r="1264" spans="1:1" x14ac:dyDescent="0.2">
      <c r="A1264" t="s">
        <v>734</v>
      </c>
    </row>
    <row r="1265" spans="1:1" x14ac:dyDescent="0.2">
      <c r="A1265" t="s">
        <v>232</v>
      </c>
    </row>
    <row r="1266" spans="1:1" x14ac:dyDescent="0.2">
      <c r="A1266" t="s">
        <v>1051</v>
      </c>
    </row>
    <row r="1267" spans="1:1" x14ac:dyDescent="0.2">
      <c r="A1267" t="s">
        <v>1052</v>
      </c>
    </row>
    <row r="1268" spans="1:1" x14ac:dyDescent="0.2">
      <c r="A1268" t="s">
        <v>1053</v>
      </c>
    </row>
    <row r="1269" spans="1:1" x14ac:dyDescent="0.2">
      <c r="A1269" t="s">
        <v>1054</v>
      </c>
    </row>
    <row r="1270" spans="1:1" x14ac:dyDescent="0.2">
      <c r="A1270" t="s">
        <v>1055</v>
      </c>
    </row>
    <row r="1271" spans="1:1" x14ac:dyDescent="0.2">
      <c r="A1271" t="s">
        <v>1056</v>
      </c>
    </row>
    <row r="1272" spans="1:1" x14ac:dyDescent="0.2">
      <c r="A1272" t="s">
        <v>1057</v>
      </c>
    </row>
    <row r="1273" spans="1:1" x14ac:dyDescent="0.2">
      <c r="A1273" t="s">
        <v>1058</v>
      </c>
    </row>
    <row r="1274" spans="1:1" x14ac:dyDescent="0.2">
      <c r="A1274" t="s">
        <v>737</v>
      </c>
    </row>
    <row r="1275" spans="1:1" x14ac:dyDescent="0.2">
      <c r="A1275" t="s">
        <v>738</v>
      </c>
    </row>
    <row r="1276" spans="1:1" x14ac:dyDescent="0.2">
      <c r="A1276" t="s">
        <v>739</v>
      </c>
    </row>
    <row r="1277" spans="1:1" x14ac:dyDescent="0.2">
      <c r="A1277" t="s">
        <v>740</v>
      </c>
    </row>
    <row r="1278" spans="1:1" x14ac:dyDescent="0.2">
      <c r="A1278" t="s">
        <v>741</v>
      </c>
    </row>
    <row r="1279" spans="1:1" x14ac:dyDescent="0.2">
      <c r="A1279" t="s">
        <v>730</v>
      </c>
    </row>
    <row r="1280" spans="1:1" x14ac:dyDescent="0.2">
      <c r="A1280" t="s">
        <v>742</v>
      </c>
    </row>
    <row r="1281" spans="1:1" x14ac:dyDescent="0.2">
      <c r="A1281" t="s">
        <v>743</v>
      </c>
    </row>
    <row r="1282" spans="1:1" x14ac:dyDescent="0.2">
      <c r="A1282" t="s">
        <v>744</v>
      </c>
    </row>
    <row r="1283" spans="1:1" x14ac:dyDescent="0.2">
      <c r="A1283" t="s">
        <v>742</v>
      </c>
    </row>
    <row r="1284" spans="1:1" x14ac:dyDescent="0.2">
      <c r="A1284" t="s">
        <v>745</v>
      </c>
    </row>
    <row r="1285" spans="1:1" x14ac:dyDescent="0.2">
      <c r="A1285" t="s">
        <v>744</v>
      </c>
    </row>
    <row r="1286" spans="1:1" x14ac:dyDescent="0.2">
      <c r="A1286" t="s">
        <v>746</v>
      </c>
    </row>
    <row r="1287" spans="1:1" x14ac:dyDescent="0.2">
      <c r="A1287" t="s">
        <v>747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1288"/>
  <sheetViews>
    <sheetView topLeftCell="A1128" workbookViewId="0">
      <selection activeCell="D954" sqref="D954"/>
    </sheetView>
  </sheetViews>
  <sheetFormatPr baseColWidth="10" defaultColWidth="8.83203125" defaultRowHeight="16" x14ac:dyDescent="0.2"/>
  <cols>
    <col min="1" max="1" width="11.1640625" bestFit="1" customWidth="1"/>
    <col min="2" max="2" width="4.1640625" bestFit="1" customWidth="1"/>
    <col min="3" max="3" width="31.1640625" bestFit="1" customWidth="1"/>
    <col min="4" max="4" width="15.6640625" bestFit="1" customWidth="1"/>
    <col min="5" max="7" width="11.6640625" customWidth="1"/>
    <col min="8" max="9" width="25.83203125" customWidth="1"/>
    <col min="10" max="10" width="22.5" customWidth="1"/>
  </cols>
  <sheetData>
    <row r="1" spans="1:1" x14ac:dyDescent="0.2">
      <c r="A1" t="s">
        <v>10</v>
      </c>
    </row>
    <row r="2" spans="1:1" x14ac:dyDescent="0.2">
      <c r="A2" t="s">
        <v>11</v>
      </c>
    </row>
    <row r="3" spans="1:1" x14ac:dyDescent="0.2">
      <c r="A3" t="s">
        <v>12</v>
      </c>
    </row>
    <row r="4" spans="1:1" x14ac:dyDescent="0.2">
      <c r="A4" t="s">
        <v>13</v>
      </c>
    </row>
    <row r="5" spans="1:1" x14ac:dyDescent="0.2">
      <c r="A5" t="s">
        <v>14</v>
      </c>
    </row>
    <row r="6" spans="1:1" x14ac:dyDescent="0.2">
      <c r="A6" t="s">
        <v>15</v>
      </c>
    </row>
    <row r="7" spans="1:1" x14ac:dyDescent="0.2">
      <c r="A7" t="s">
        <v>16</v>
      </c>
    </row>
    <row r="8" spans="1:1" x14ac:dyDescent="0.2">
      <c r="A8" t="s">
        <v>17</v>
      </c>
    </row>
    <row r="9" spans="1:1" x14ac:dyDescent="0.2">
      <c r="A9" t="s">
        <v>18</v>
      </c>
    </row>
    <row r="10" spans="1:1" x14ac:dyDescent="0.2">
      <c r="A10" t="s">
        <v>19</v>
      </c>
    </row>
    <row r="11" spans="1:1" x14ac:dyDescent="0.2">
      <c r="A11" t="s">
        <v>20</v>
      </c>
    </row>
    <row r="12" spans="1:1" x14ac:dyDescent="0.2">
      <c r="A12" t="s">
        <v>21</v>
      </c>
    </row>
    <row r="13" spans="1:1" x14ac:dyDescent="0.2">
      <c r="A13" t="s">
        <v>22</v>
      </c>
    </row>
    <row r="14" spans="1:1" x14ac:dyDescent="0.2">
      <c r="A14" t="s">
        <v>23</v>
      </c>
    </row>
    <row r="15" spans="1:1" x14ac:dyDescent="0.2">
      <c r="A15" t="s">
        <v>24</v>
      </c>
    </row>
    <row r="16" spans="1:1" x14ac:dyDescent="0.2">
      <c r="A16" t="s">
        <v>25</v>
      </c>
    </row>
    <row r="17" spans="1:1" x14ac:dyDescent="0.2">
      <c r="A17" t="s">
        <v>26</v>
      </c>
    </row>
    <row r="18" spans="1:1" x14ac:dyDescent="0.2">
      <c r="A18" t="s">
        <v>27</v>
      </c>
    </row>
    <row r="19" spans="1:1" x14ac:dyDescent="0.2">
      <c r="A19" t="s">
        <v>28</v>
      </c>
    </row>
    <row r="20" spans="1:1" x14ac:dyDescent="0.2">
      <c r="A20" t="s">
        <v>29</v>
      </c>
    </row>
    <row r="21" spans="1:1" x14ac:dyDescent="0.2">
      <c r="A21" t="s">
        <v>26</v>
      </c>
    </row>
    <row r="22" spans="1:1" x14ac:dyDescent="0.2">
      <c r="A22" t="s">
        <v>30</v>
      </c>
    </row>
    <row r="23" spans="1:1" x14ac:dyDescent="0.2">
      <c r="A23" t="s">
        <v>31</v>
      </c>
    </row>
    <row r="24" spans="1:1" x14ac:dyDescent="0.2">
      <c r="A24" t="s">
        <v>32</v>
      </c>
    </row>
    <row r="25" spans="1:1" x14ac:dyDescent="0.2">
      <c r="A25" t="s">
        <v>33</v>
      </c>
    </row>
    <row r="26" spans="1:1" x14ac:dyDescent="0.2">
      <c r="A26" t="s">
        <v>34</v>
      </c>
    </row>
    <row r="27" spans="1:1" x14ac:dyDescent="0.2">
      <c r="A27" t="s">
        <v>35</v>
      </c>
    </row>
    <row r="28" spans="1:1" x14ac:dyDescent="0.2">
      <c r="A28" t="s">
        <v>36</v>
      </c>
    </row>
    <row r="29" spans="1:1" x14ac:dyDescent="0.2">
      <c r="A29" t="s">
        <v>37</v>
      </c>
    </row>
    <row r="30" spans="1:1" x14ac:dyDescent="0.2">
      <c r="A30" t="s">
        <v>38</v>
      </c>
    </row>
    <row r="31" spans="1:1" x14ac:dyDescent="0.2">
      <c r="A31" t="s">
        <v>39</v>
      </c>
    </row>
    <row r="32" spans="1:1" x14ac:dyDescent="0.2">
      <c r="A32" t="s">
        <v>40</v>
      </c>
    </row>
    <row r="33" spans="1:1" x14ac:dyDescent="0.2">
      <c r="A33" t="s">
        <v>41</v>
      </c>
    </row>
    <row r="34" spans="1:1" x14ac:dyDescent="0.2">
      <c r="A34" t="s">
        <v>42</v>
      </c>
    </row>
    <row r="35" spans="1:1" x14ac:dyDescent="0.2">
      <c r="A35" t="s">
        <v>43</v>
      </c>
    </row>
    <row r="36" spans="1:1" x14ac:dyDescent="0.2">
      <c r="A36" t="s">
        <v>44</v>
      </c>
    </row>
    <row r="37" spans="1:1" x14ac:dyDescent="0.2">
      <c r="A37" t="s">
        <v>45</v>
      </c>
    </row>
    <row r="38" spans="1:1" x14ac:dyDescent="0.2">
      <c r="A38" t="s">
        <v>46</v>
      </c>
    </row>
    <row r="39" spans="1:1" x14ac:dyDescent="0.2">
      <c r="A39" t="s">
        <v>47</v>
      </c>
    </row>
    <row r="40" spans="1:1" x14ac:dyDescent="0.2">
      <c r="A40" t="s">
        <v>48</v>
      </c>
    </row>
    <row r="41" spans="1:1" x14ac:dyDescent="0.2">
      <c r="A41" t="s">
        <v>49</v>
      </c>
    </row>
    <row r="42" spans="1:1" x14ac:dyDescent="0.2">
      <c r="A42" t="s">
        <v>50</v>
      </c>
    </row>
    <row r="43" spans="1:1" x14ac:dyDescent="0.2">
      <c r="A43" t="s">
        <v>51</v>
      </c>
    </row>
    <row r="44" spans="1:1" x14ac:dyDescent="0.2">
      <c r="A44" t="s">
        <v>52</v>
      </c>
    </row>
    <row r="45" spans="1:1" x14ac:dyDescent="0.2">
      <c r="A45" t="s">
        <v>53</v>
      </c>
    </row>
    <row r="46" spans="1:1" x14ac:dyDescent="0.2">
      <c r="A46" t="s">
        <v>54</v>
      </c>
    </row>
    <row r="47" spans="1:1" x14ac:dyDescent="0.2">
      <c r="A47" t="s">
        <v>55</v>
      </c>
    </row>
    <row r="48" spans="1:1" x14ac:dyDescent="0.2">
      <c r="A48" t="s">
        <v>56</v>
      </c>
    </row>
    <row r="49" spans="1:1" x14ac:dyDescent="0.2">
      <c r="A49" t="s">
        <v>57</v>
      </c>
    </row>
    <row r="50" spans="1:1" x14ac:dyDescent="0.2">
      <c r="A50" t="s">
        <v>58</v>
      </c>
    </row>
    <row r="51" spans="1:1" x14ac:dyDescent="0.2">
      <c r="A51" t="s">
        <v>59</v>
      </c>
    </row>
    <row r="52" spans="1:1" x14ac:dyDescent="0.2">
      <c r="A52" t="s">
        <v>60</v>
      </c>
    </row>
    <row r="53" spans="1:1" x14ac:dyDescent="0.2">
      <c r="A53" t="s">
        <v>61</v>
      </c>
    </row>
    <row r="54" spans="1:1" x14ac:dyDescent="0.2">
      <c r="A54" t="s">
        <v>62</v>
      </c>
    </row>
    <row r="55" spans="1:1" x14ac:dyDescent="0.2">
      <c r="A55" t="s">
        <v>63</v>
      </c>
    </row>
    <row r="56" spans="1:1" x14ac:dyDescent="0.2">
      <c r="A56" t="s">
        <v>64</v>
      </c>
    </row>
    <row r="57" spans="1:1" x14ac:dyDescent="0.2">
      <c r="A57" t="s">
        <v>10</v>
      </c>
    </row>
    <row r="58" spans="1:1" x14ac:dyDescent="0.2">
      <c r="A58" t="s">
        <v>11</v>
      </c>
    </row>
    <row r="59" spans="1:1" x14ac:dyDescent="0.2">
      <c r="A59" t="s">
        <v>65</v>
      </c>
    </row>
    <row r="60" spans="1:1" x14ac:dyDescent="0.2">
      <c r="A60" t="s">
        <v>66</v>
      </c>
    </row>
    <row r="61" spans="1:1" x14ac:dyDescent="0.2">
      <c r="A61" t="s">
        <v>67</v>
      </c>
    </row>
    <row r="62" spans="1:1" x14ac:dyDescent="0.2">
      <c r="A62" t="s">
        <v>68</v>
      </c>
    </row>
    <row r="63" spans="1:1" x14ac:dyDescent="0.2">
      <c r="A63" t="s">
        <v>69</v>
      </c>
    </row>
    <row r="64" spans="1:1" x14ac:dyDescent="0.2">
      <c r="A64" t="s">
        <v>70</v>
      </c>
    </row>
    <row r="65" spans="1:1" x14ac:dyDescent="0.2">
      <c r="A65" t="s">
        <v>71</v>
      </c>
    </row>
    <row r="66" spans="1:1" x14ac:dyDescent="0.2">
      <c r="A66" t="s">
        <v>72</v>
      </c>
    </row>
    <row r="67" spans="1:1" x14ac:dyDescent="0.2">
      <c r="A67" t="s">
        <v>73</v>
      </c>
    </row>
    <row r="68" spans="1:1" x14ac:dyDescent="0.2">
      <c r="A68" t="s">
        <v>74</v>
      </c>
    </row>
    <row r="69" spans="1:1" x14ac:dyDescent="0.2">
      <c r="A69" t="s">
        <v>75</v>
      </c>
    </row>
    <row r="70" spans="1:1" x14ac:dyDescent="0.2">
      <c r="A70" t="s">
        <v>76</v>
      </c>
    </row>
    <row r="71" spans="1:1" x14ac:dyDescent="0.2">
      <c r="A71" t="s">
        <v>77</v>
      </c>
    </row>
    <row r="72" spans="1:1" x14ac:dyDescent="0.2">
      <c r="A72" t="s">
        <v>78</v>
      </c>
    </row>
    <row r="73" spans="1:1" x14ac:dyDescent="0.2">
      <c r="A73" t="s">
        <v>79</v>
      </c>
    </row>
    <row r="74" spans="1:1" x14ac:dyDescent="0.2">
      <c r="A74" t="s">
        <v>80</v>
      </c>
    </row>
    <row r="75" spans="1:1" x14ac:dyDescent="0.2">
      <c r="A75" t="s">
        <v>81</v>
      </c>
    </row>
    <row r="76" spans="1:1" x14ac:dyDescent="0.2">
      <c r="A76" t="s">
        <v>82</v>
      </c>
    </row>
    <row r="77" spans="1:1" x14ac:dyDescent="0.2">
      <c r="A77" t="s">
        <v>83</v>
      </c>
    </row>
    <row r="78" spans="1:1" x14ac:dyDescent="0.2">
      <c r="A78" t="s">
        <v>84</v>
      </c>
    </row>
    <row r="79" spans="1:1" x14ac:dyDescent="0.2">
      <c r="A79" t="s">
        <v>85</v>
      </c>
    </row>
    <row r="80" spans="1:1" x14ac:dyDescent="0.2">
      <c r="A80" t="s">
        <v>86</v>
      </c>
    </row>
    <row r="81" spans="1:1" x14ac:dyDescent="0.2">
      <c r="A81" t="s">
        <v>87</v>
      </c>
    </row>
    <row r="82" spans="1:1" x14ac:dyDescent="0.2">
      <c r="A82" t="s">
        <v>88</v>
      </c>
    </row>
    <row r="84" spans="1:1" x14ac:dyDescent="0.2">
      <c r="A84" t="s">
        <v>89</v>
      </c>
    </row>
    <row r="85" spans="1:1" x14ac:dyDescent="0.2">
      <c r="A85" t="s">
        <v>90</v>
      </c>
    </row>
    <row r="87" spans="1:1" x14ac:dyDescent="0.2">
      <c r="A87" t="s">
        <v>6</v>
      </c>
    </row>
    <row r="88" spans="1:1" x14ac:dyDescent="0.2">
      <c r="A88" t="s">
        <v>91</v>
      </c>
    </row>
    <row r="90" spans="1:1" x14ac:dyDescent="0.2">
      <c r="A90" t="s">
        <v>92</v>
      </c>
    </row>
    <row r="91" spans="1:1" x14ac:dyDescent="0.2">
      <c r="A91" t="s">
        <v>93</v>
      </c>
    </row>
    <row r="93" spans="1:1" x14ac:dyDescent="0.2">
      <c r="A93" t="s">
        <v>94</v>
      </c>
    </row>
    <row r="94" spans="1:1" x14ac:dyDescent="0.2">
      <c r="A94" t="s">
        <v>95</v>
      </c>
    </row>
    <row r="96" spans="1:1" x14ac:dyDescent="0.2">
      <c r="A96" t="s">
        <v>7</v>
      </c>
    </row>
    <row r="97" spans="1:1" x14ac:dyDescent="0.2">
      <c r="A97" t="s">
        <v>96</v>
      </c>
    </row>
    <row r="99" spans="1:1" x14ac:dyDescent="0.2">
      <c r="A99" t="s">
        <v>97</v>
      </c>
    </row>
    <row r="100" spans="1:1" x14ac:dyDescent="0.2">
      <c r="A100" t="s">
        <v>97</v>
      </c>
    </row>
    <row r="102" spans="1:1" x14ac:dyDescent="0.2">
      <c r="A102" t="s">
        <v>98</v>
      </c>
    </row>
    <row r="103" spans="1:1" x14ac:dyDescent="0.2">
      <c r="A103" t="s">
        <v>98</v>
      </c>
    </row>
    <row r="105" spans="1:1" x14ac:dyDescent="0.2">
      <c r="A105" t="s">
        <v>99</v>
      </c>
    </row>
    <row r="106" spans="1:1" x14ac:dyDescent="0.2">
      <c r="A106" t="s">
        <v>100</v>
      </c>
    </row>
    <row r="108" spans="1:1" x14ac:dyDescent="0.2">
      <c r="A108" t="s">
        <v>101</v>
      </c>
    </row>
    <row r="109" spans="1:1" x14ac:dyDescent="0.2">
      <c r="A109" t="s">
        <v>102</v>
      </c>
    </row>
    <row r="111" spans="1:1" x14ac:dyDescent="0.2">
      <c r="A111" t="s">
        <v>3</v>
      </c>
    </row>
    <row r="112" spans="1:1" x14ac:dyDescent="0.2">
      <c r="A112" t="s">
        <v>103</v>
      </c>
    </row>
    <row r="114" spans="1:1" x14ac:dyDescent="0.2">
      <c r="A114" t="s">
        <v>104</v>
      </c>
    </row>
    <row r="115" spans="1:1" x14ac:dyDescent="0.2">
      <c r="A115" t="s">
        <v>105</v>
      </c>
    </row>
    <row r="117" spans="1:1" x14ac:dyDescent="0.2">
      <c r="A117" t="s">
        <v>106</v>
      </c>
    </row>
    <row r="119" spans="1:1" x14ac:dyDescent="0.2">
      <c r="A119" t="s">
        <v>107</v>
      </c>
    </row>
    <row r="120" spans="1:1" x14ac:dyDescent="0.2">
      <c r="A120" t="s">
        <v>108</v>
      </c>
    </row>
    <row r="122" spans="1:1" x14ac:dyDescent="0.2">
      <c r="A122" t="s">
        <v>109</v>
      </c>
    </row>
    <row r="123" spans="1:1" x14ac:dyDescent="0.2">
      <c r="A123" t="s">
        <v>110</v>
      </c>
    </row>
    <row r="125" spans="1:1" x14ac:dyDescent="0.2">
      <c r="A125" t="s">
        <v>111</v>
      </c>
    </row>
    <row r="127" spans="1:1" x14ac:dyDescent="0.2">
      <c r="A127" t="s">
        <v>112</v>
      </c>
    </row>
    <row r="128" spans="1:1" x14ac:dyDescent="0.2">
      <c r="A128" t="s">
        <v>113</v>
      </c>
    </row>
    <row r="130" spans="1:1" x14ac:dyDescent="0.2">
      <c r="A130" t="s">
        <v>114</v>
      </c>
    </row>
    <row r="131" spans="1:1" x14ac:dyDescent="0.2">
      <c r="A131" t="s">
        <v>115</v>
      </c>
    </row>
    <row r="133" spans="1:1" x14ac:dyDescent="0.2">
      <c r="A133" t="s">
        <v>116</v>
      </c>
    </row>
    <row r="134" spans="1:1" x14ac:dyDescent="0.2">
      <c r="A134" t="s">
        <v>117</v>
      </c>
    </row>
    <row r="136" spans="1:1" x14ac:dyDescent="0.2">
      <c r="A136" t="s">
        <v>118</v>
      </c>
    </row>
    <row r="137" spans="1:1" x14ac:dyDescent="0.2">
      <c r="A137" t="s">
        <v>119</v>
      </c>
    </row>
    <row r="139" spans="1:1" x14ac:dyDescent="0.2">
      <c r="A139" t="s">
        <v>120</v>
      </c>
    </row>
    <row r="140" spans="1:1" x14ac:dyDescent="0.2">
      <c r="A140" t="s">
        <v>121</v>
      </c>
    </row>
    <row r="142" spans="1:1" x14ac:dyDescent="0.2">
      <c r="A142" t="s">
        <v>122</v>
      </c>
    </row>
    <row r="143" spans="1:1" x14ac:dyDescent="0.2">
      <c r="A143" t="s">
        <v>123</v>
      </c>
    </row>
    <row r="145" spans="1:1" x14ac:dyDescent="0.2">
      <c r="A145" t="s">
        <v>124</v>
      </c>
    </row>
    <row r="146" spans="1:1" x14ac:dyDescent="0.2">
      <c r="A146" t="s">
        <v>125</v>
      </c>
    </row>
    <row r="148" spans="1:1" x14ac:dyDescent="0.2">
      <c r="A148" t="s">
        <v>126</v>
      </c>
    </row>
    <row r="149" spans="1:1" x14ac:dyDescent="0.2">
      <c r="A149" t="s">
        <v>127</v>
      </c>
    </row>
    <row r="151" spans="1:1" x14ac:dyDescent="0.2">
      <c r="A151" t="s">
        <v>128</v>
      </c>
    </row>
    <row r="153" spans="1:1" x14ac:dyDescent="0.2">
      <c r="A153" t="s">
        <v>129</v>
      </c>
    </row>
    <row r="154" spans="1:1" x14ac:dyDescent="0.2">
      <c r="A154" t="s">
        <v>130</v>
      </c>
    </row>
    <row r="156" spans="1:1" x14ac:dyDescent="0.2">
      <c r="A156" t="s">
        <v>131</v>
      </c>
    </row>
    <row r="157" spans="1:1" x14ac:dyDescent="0.2">
      <c r="A157" t="s">
        <v>132</v>
      </c>
    </row>
    <row r="159" spans="1:1" x14ac:dyDescent="0.2">
      <c r="A159" t="s">
        <v>133</v>
      </c>
    </row>
    <row r="160" spans="1:1" x14ac:dyDescent="0.2">
      <c r="A160" t="s">
        <v>134</v>
      </c>
    </row>
    <row r="162" spans="1:1" x14ac:dyDescent="0.2">
      <c r="A162" t="s">
        <v>135</v>
      </c>
    </row>
    <row r="163" spans="1:1" x14ac:dyDescent="0.2">
      <c r="A163" t="s">
        <v>136</v>
      </c>
    </row>
    <row r="165" spans="1:1" x14ac:dyDescent="0.2">
      <c r="A165" t="s">
        <v>137</v>
      </c>
    </row>
    <row r="166" spans="1:1" x14ac:dyDescent="0.2">
      <c r="A166" t="s">
        <v>138</v>
      </c>
    </row>
    <row r="168" spans="1:1" x14ac:dyDescent="0.2">
      <c r="A168" t="s">
        <v>139</v>
      </c>
    </row>
    <row r="169" spans="1:1" x14ac:dyDescent="0.2">
      <c r="A169" t="s">
        <v>140</v>
      </c>
    </row>
    <row r="171" spans="1:1" x14ac:dyDescent="0.2">
      <c r="A171" t="s">
        <v>141</v>
      </c>
    </row>
    <row r="172" spans="1:1" x14ac:dyDescent="0.2">
      <c r="A172" t="s">
        <v>142</v>
      </c>
    </row>
    <row r="174" spans="1:1" x14ac:dyDescent="0.2">
      <c r="A174" t="s">
        <v>143</v>
      </c>
    </row>
    <row r="175" spans="1:1" x14ac:dyDescent="0.2">
      <c r="A175" t="s">
        <v>144</v>
      </c>
    </row>
    <row r="177" spans="1:1" x14ac:dyDescent="0.2">
      <c r="A177" t="s">
        <v>145</v>
      </c>
    </row>
    <row r="178" spans="1:1" x14ac:dyDescent="0.2">
      <c r="A178" t="s">
        <v>146</v>
      </c>
    </row>
    <row r="180" spans="1:1" x14ac:dyDescent="0.2">
      <c r="A180" t="s">
        <v>147</v>
      </c>
    </row>
    <row r="181" spans="1:1" x14ac:dyDescent="0.2">
      <c r="A181" t="s">
        <v>148</v>
      </c>
    </row>
    <row r="183" spans="1:1" x14ac:dyDescent="0.2">
      <c r="A183" t="s">
        <v>149</v>
      </c>
    </row>
    <row r="184" spans="1:1" x14ac:dyDescent="0.2">
      <c r="A184" t="s">
        <v>150</v>
      </c>
    </row>
    <row r="186" spans="1:1" x14ac:dyDescent="0.2">
      <c r="A186" t="s">
        <v>151</v>
      </c>
    </row>
    <row r="187" spans="1:1" x14ac:dyDescent="0.2">
      <c r="A187" t="s">
        <v>152</v>
      </c>
    </row>
    <row r="189" spans="1:1" x14ac:dyDescent="0.2">
      <c r="A189" t="s">
        <v>153</v>
      </c>
    </row>
    <row r="190" spans="1:1" x14ac:dyDescent="0.2">
      <c r="A190" t="s">
        <v>154</v>
      </c>
    </row>
    <row r="192" spans="1:1" x14ac:dyDescent="0.2">
      <c r="A192" t="s">
        <v>155</v>
      </c>
    </row>
    <row r="193" spans="1:1" x14ac:dyDescent="0.2">
      <c r="A193" t="s">
        <v>156</v>
      </c>
    </row>
    <row r="195" spans="1:1" x14ac:dyDescent="0.2">
      <c r="A195" t="s">
        <v>157</v>
      </c>
    </row>
    <row r="196" spans="1:1" x14ac:dyDescent="0.2">
      <c r="A196" t="s">
        <v>158</v>
      </c>
    </row>
    <row r="198" spans="1:1" x14ac:dyDescent="0.2">
      <c r="A198" t="s">
        <v>159</v>
      </c>
    </row>
    <row r="199" spans="1:1" x14ac:dyDescent="0.2">
      <c r="A199" t="s">
        <v>160</v>
      </c>
    </row>
    <row r="201" spans="1:1" x14ac:dyDescent="0.2">
      <c r="A201" t="s">
        <v>161</v>
      </c>
    </row>
    <row r="202" spans="1:1" x14ac:dyDescent="0.2">
      <c r="A202" t="s">
        <v>162</v>
      </c>
    </row>
    <row r="204" spans="1:1" x14ac:dyDescent="0.2">
      <c r="A204" t="s">
        <v>163</v>
      </c>
    </row>
    <row r="205" spans="1:1" x14ac:dyDescent="0.2">
      <c r="A205" t="s">
        <v>164</v>
      </c>
    </row>
    <row r="207" spans="1:1" x14ac:dyDescent="0.2">
      <c r="A207" t="s">
        <v>165</v>
      </c>
    </row>
    <row r="208" spans="1:1" x14ac:dyDescent="0.2">
      <c r="A208" t="s">
        <v>166</v>
      </c>
    </row>
    <row r="210" spans="1:1" x14ac:dyDescent="0.2">
      <c r="A210" t="s">
        <v>167</v>
      </c>
    </row>
    <row r="211" spans="1:1" x14ac:dyDescent="0.2">
      <c r="A211" t="s">
        <v>168</v>
      </c>
    </row>
    <row r="213" spans="1:1" x14ac:dyDescent="0.2">
      <c r="A213" t="s">
        <v>169</v>
      </c>
    </row>
    <row r="214" spans="1:1" x14ac:dyDescent="0.2">
      <c r="A214" t="s">
        <v>170</v>
      </c>
    </row>
    <row r="216" spans="1:1" x14ac:dyDescent="0.2">
      <c r="A216" t="s">
        <v>171</v>
      </c>
    </row>
    <row r="217" spans="1:1" x14ac:dyDescent="0.2">
      <c r="A217" t="s">
        <v>172</v>
      </c>
    </row>
    <row r="219" spans="1:1" x14ac:dyDescent="0.2">
      <c r="A219" t="s">
        <v>173</v>
      </c>
    </row>
    <row r="220" spans="1:1" x14ac:dyDescent="0.2">
      <c r="A220" t="s">
        <v>174</v>
      </c>
    </row>
    <row r="222" spans="1:1" x14ac:dyDescent="0.2">
      <c r="A222" t="s">
        <v>175</v>
      </c>
    </row>
    <row r="223" spans="1:1" x14ac:dyDescent="0.2">
      <c r="A223" t="s">
        <v>176</v>
      </c>
    </row>
    <row r="225" spans="1:1" x14ac:dyDescent="0.2">
      <c r="A225" t="s">
        <v>177</v>
      </c>
    </row>
    <row r="226" spans="1:1" x14ac:dyDescent="0.2">
      <c r="A226" t="s">
        <v>178</v>
      </c>
    </row>
    <row r="228" spans="1:1" x14ac:dyDescent="0.2">
      <c r="A228" t="s">
        <v>179</v>
      </c>
    </row>
    <row r="229" spans="1:1" x14ac:dyDescent="0.2">
      <c r="A229" t="s">
        <v>180</v>
      </c>
    </row>
    <row r="231" spans="1:1" x14ac:dyDescent="0.2">
      <c r="A231" t="s">
        <v>181</v>
      </c>
    </row>
    <row r="232" spans="1:1" x14ac:dyDescent="0.2">
      <c r="A232" t="s">
        <v>182</v>
      </c>
    </row>
    <row r="234" spans="1:1" x14ac:dyDescent="0.2">
      <c r="A234" t="s">
        <v>183</v>
      </c>
    </row>
    <row r="235" spans="1:1" x14ac:dyDescent="0.2">
      <c r="A235" t="s">
        <v>184</v>
      </c>
    </row>
    <row r="237" spans="1:1" x14ac:dyDescent="0.2">
      <c r="A237" t="s">
        <v>185</v>
      </c>
    </row>
    <row r="238" spans="1:1" x14ac:dyDescent="0.2">
      <c r="A238" t="s">
        <v>186</v>
      </c>
    </row>
    <row r="240" spans="1:1" x14ac:dyDescent="0.2">
      <c r="A240" t="s">
        <v>187</v>
      </c>
    </row>
    <row r="241" spans="1:1" x14ac:dyDescent="0.2">
      <c r="A241" t="s">
        <v>188</v>
      </c>
    </row>
    <row r="243" spans="1:1" x14ac:dyDescent="0.2">
      <c r="A243" t="s">
        <v>189</v>
      </c>
    </row>
    <row r="244" spans="1:1" x14ac:dyDescent="0.2">
      <c r="A244" t="s">
        <v>190</v>
      </c>
    </row>
    <row r="246" spans="1:1" x14ac:dyDescent="0.2">
      <c r="A246" t="s">
        <v>191</v>
      </c>
    </row>
    <row r="247" spans="1:1" x14ac:dyDescent="0.2">
      <c r="A247" t="s">
        <v>192</v>
      </c>
    </row>
    <row r="249" spans="1:1" x14ac:dyDescent="0.2">
      <c r="A249" t="s">
        <v>193</v>
      </c>
    </row>
    <row r="250" spans="1:1" x14ac:dyDescent="0.2">
      <c r="A250" t="s">
        <v>194</v>
      </c>
    </row>
    <row r="252" spans="1:1" x14ac:dyDescent="0.2">
      <c r="A252" t="s">
        <v>195</v>
      </c>
    </row>
    <row r="253" spans="1:1" x14ac:dyDescent="0.2">
      <c r="A253" t="s">
        <v>196</v>
      </c>
    </row>
    <row r="255" spans="1:1" x14ac:dyDescent="0.2">
      <c r="A255" t="s">
        <v>197</v>
      </c>
    </row>
    <row r="256" spans="1:1" x14ac:dyDescent="0.2">
      <c r="A256" t="s">
        <v>198</v>
      </c>
    </row>
    <row r="258" spans="1:1" x14ac:dyDescent="0.2">
      <c r="A258" t="s">
        <v>199</v>
      </c>
    </row>
    <row r="259" spans="1:1" x14ac:dyDescent="0.2">
      <c r="A259" t="s">
        <v>200</v>
      </c>
    </row>
    <row r="261" spans="1:1" x14ac:dyDescent="0.2">
      <c r="A261" t="s">
        <v>201</v>
      </c>
    </row>
    <row r="262" spans="1:1" x14ac:dyDescent="0.2">
      <c r="A262" t="s">
        <v>202</v>
      </c>
    </row>
    <row r="264" spans="1:1" x14ac:dyDescent="0.2">
      <c r="A264" t="s">
        <v>203</v>
      </c>
    </row>
    <row r="265" spans="1:1" x14ac:dyDescent="0.2">
      <c r="A265" t="s">
        <v>204</v>
      </c>
    </row>
    <row r="267" spans="1:1" x14ac:dyDescent="0.2">
      <c r="A267" t="s">
        <v>205</v>
      </c>
    </row>
    <row r="269" spans="1:1" x14ac:dyDescent="0.2">
      <c r="A269" t="s">
        <v>206</v>
      </c>
    </row>
    <row r="270" spans="1:1" x14ac:dyDescent="0.2">
      <c r="A270" t="s">
        <v>207</v>
      </c>
    </row>
    <row r="272" spans="1:1" x14ac:dyDescent="0.2">
      <c r="A272" t="s">
        <v>208</v>
      </c>
    </row>
    <row r="273" spans="1:1" x14ac:dyDescent="0.2">
      <c r="A273" t="s">
        <v>209</v>
      </c>
    </row>
    <row r="275" spans="1:1" x14ac:dyDescent="0.2">
      <c r="A275" t="s">
        <v>210</v>
      </c>
    </row>
    <row r="276" spans="1:1" x14ac:dyDescent="0.2">
      <c r="A276" t="s">
        <v>19</v>
      </c>
    </row>
    <row r="277" spans="1:1" x14ac:dyDescent="0.2">
      <c r="A277" t="s">
        <v>19</v>
      </c>
    </row>
    <row r="278" spans="1:1" x14ac:dyDescent="0.2">
      <c r="A278" t="s">
        <v>211</v>
      </c>
    </row>
    <row r="279" spans="1:1" x14ac:dyDescent="0.2">
      <c r="A279" t="s">
        <v>212</v>
      </c>
    </row>
    <row r="280" spans="1:1" x14ac:dyDescent="0.2">
      <c r="A280" t="s">
        <v>213</v>
      </c>
    </row>
    <row r="281" spans="1:1" x14ac:dyDescent="0.2">
      <c r="A281" t="s">
        <v>214</v>
      </c>
    </row>
    <row r="282" spans="1:1" x14ac:dyDescent="0.2">
      <c r="A282" t="s">
        <v>215</v>
      </c>
    </row>
    <row r="283" spans="1:1" x14ac:dyDescent="0.2">
      <c r="A283" t="s">
        <v>216</v>
      </c>
    </row>
    <row r="284" spans="1:1" x14ac:dyDescent="0.2">
      <c r="A284" t="s">
        <v>217</v>
      </c>
    </row>
    <row r="285" spans="1:1" x14ac:dyDescent="0.2">
      <c r="A285" t="s">
        <v>218</v>
      </c>
    </row>
    <row r="287" spans="1:1" x14ac:dyDescent="0.2">
      <c r="A287" t="s">
        <v>219</v>
      </c>
    </row>
    <row r="288" spans="1:1" x14ac:dyDescent="0.2">
      <c r="A288" t="s">
        <v>220</v>
      </c>
    </row>
    <row r="289" spans="1:1" x14ac:dyDescent="0.2">
      <c r="A289" t="s">
        <v>26</v>
      </c>
    </row>
    <row r="290" spans="1:1" x14ac:dyDescent="0.2">
      <c r="A290" t="s">
        <v>27</v>
      </c>
    </row>
    <row r="291" spans="1:1" x14ac:dyDescent="0.2">
      <c r="A291" t="s">
        <v>221</v>
      </c>
    </row>
    <row r="292" spans="1:1" x14ac:dyDescent="0.2">
      <c r="A292" t="s">
        <v>222</v>
      </c>
    </row>
    <row r="293" spans="1:1" x14ac:dyDescent="0.2">
      <c r="A293" t="s">
        <v>30</v>
      </c>
    </row>
    <row r="294" spans="1:1" x14ac:dyDescent="0.2">
      <c r="A294" t="s">
        <v>223</v>
      </c>
    </row>
    <row r="295" spans="1:1" x14ac:dyDescent="0.2">
      <c r="A295" t="s">
        <v>224</v>
      </c>
    </row>
    <row r="296" spans="1:1" x14ac:dyDescent="0.2">
      <c r="A296" t="s">
        <v>211</v>
      </c>
    </row>
    <row r="297" spans="1:1" x14ac:dyDescent="0.2">
      <c r="A297" t="s">
        <v>225</v>
      </c>
    </row>
    <row r="298" spans="1:1" x14ac:dyDescent="0.2">
      <c r="A298" t="s">
        <v>226</v>
      </c>
    </row>
    <row r="299" spans="1:1" x14ac:dyDescent="0.2">
      <c r="A299" t="s">
        <v>37</v>
      </c>
    </row>
    <row r="300" spans="1:1" x14ac:dyDescent="0.2">
      <c r="A300" t="s">
        <v>38</v>
      </c>
    </row>
    <row r="301" spans="1:1" x14ac:dyDescent="0.2">
      <c r="A301" t="s">
        <v>39</v>
      </c>
    </row>
    <row r="302" spans="1:1" x14ac:dyDescent="0.2">
      <c r="A302" t="s">
        <v>40</v>
      </c>
    </row>
    <row r="303" spans="1:1" x14ac:dyDescent="0.2">
      <c r="A303" t="s">
        <v>227</v>
      </c>
    </row>
    <row r="304" spans="1:1" x14ac:dyDescent="0.2">
      <c r="A304" t="s">
        <v>228</v>
      </c>
    </row>
    <row r="305" spans="1:1" x14ac:dyDescent="0.2">
      <c r="A305" t="s">
        <v>45</v>
      </c>
    </row>
    <row r="306" spans="1:1" x14ac:dyDescent="0.2">
      <c r="A306" t="s">
        <v>46</v>
      </c>
    </row>
    <row r="307" spans="1:1" x14ac:dyDescent="0.2">
      <c r="A307" t="s">
        <v>47</v>
      </c>
    </row>
    <row r="308" spans="1:1" x14ac:dyDescent="0.2">
      <c r="A308" t="s">
        <v>48</v>
      </c>
    </row>
    <row r="309" spans="1:1" x14ac:dyDescent="0.2">
      <c r="A309" t="s">
        <v>229</v>
      </c>
    </row>
    <row r="310" spans="1:1" x14ac:dyDescent="0.2">
      <c r="A310" t="s">
        <v>230</v>
      </c>
    </row>
    <row r="311" spans="1:1" x14ac:dyDescent="0.2">
      <c r="A311" t="s">
        <v>52</v>
      </c>
    </row>
    <row r="312" spans="1:1" x14ac:dyDescent="0.2">
      <c r="A312" t="s">
        <v>231</v>
      </c>
    </row>
    <row r="314" spans="1:1" x14ac:dyDescent="0.2">
      <c r="A314" t="s">
        <v>233</v>
      </c>
    </row>
    <row r="315" spans="1:1" x14ac:dyDescent="0.2">
      <c r="A315" t="s">
        <v>234</v>
      </c>
    </row>
    <row r="316" spans="1:1" x14ac:dyDescent="0.2">
      <c r="A316" t="s">
        <v>235</v>
      </c>
    </row>
    <row r="317" spans="1:1" x14ac:dyDescent="0.2">
      <c r="A317" t="s">
        <v>236</v>
      </c>
    </row>
    <row r="318" spans="1:1" x14ac:dyDescent="0.2">
      <c r="A318" t="s">
        <v>237</v>
      </c>
    </row>
    <row r="319" spans="1:1" x14ac:dyDescent="0.2">
      <c r="A319" t="s">
        <v>238</v>
      </c>
    </row>
    <row r="320" spans="1:1" x14ac:dyDescent="0.2">
      <c r="A320" t="s">
        <v>239</v>
      </c>
    </row>
    <row r="321" spans="1:1" x14ac:dyDescent="0.2">
      <c r="A321" t="s">
        <v>240</v>
      </c>
    </row>
    <row r="322" spans="1:1" x14ac:dyDescent="0.2">
      <c r="A322" t="s">
        <v>241</v>
      </c>
    </row>
    <row r="323" spans="1:1" x14ac:dyDescent="0.2">
      <c r="A323" t="s">
        <v>242</v>
      </c>
    </row>
    <row r="324" spans="1:1" x14ac:dyDescent="0.2">
      <c r="A324" t="s">
        <v>243</v>
      </c>
    </row>
    <row r="325" spans="1:1" x14ac:dyDescent="0.2">
      <c r="A325" t="s">
        <v>246</v>
      </c>
    </row>
    <row r="326" spans="1:1" x14ac:dyDescent="0.2">
      <c r="A326" t="s">
        <v>245</v>
      </c>
    </row>
    <row r="327" spans="1:1" x14ac:dyDescent="0.2">
      <c r="A327" t="s">
        <v>244</v>
      </c>
    </row>
    <row r="328" spans="1:1" x14ac:dyDescent="0.2">
      <c r="A328" t="s">
        <v>247</v>
      </c>
    </row>
    <row r="329" spans="1:1" x14ac:dyDescent="0.2">
      <c r="A329" t="s">
        <v>248</v>
      </c>
    </row>
    <row r="330" spans="1:1" x14ac:dyDescent="0.2">
      <c r="A330" t="s">
        <v>249</v>
      </c>
    </row>
    <row r="331" spans="1:1" x14ac:dyDescent="0.2">
      <c r="A331" t="s">
        <v>251</v>
      </c>
    </row>
    <row r="332" spans="1:1" x14ac:dyDescent="0.2">
      <c r="A332" t="s">
        <v>250</v>
      </c>
    </row>
    <row r="333" spans="1:1" x14ac:dyDescent="0.2">
      <c r="A333" t="s">
        <v>252</v>
      </c>
    </row>
    <row r="334" spans="1:1" x14ac:dyDescent="0.2">
      <c r="A334" t="s">
        <v>256</v>
      </c>
    </row>
    <row r="335" spans="1:1" x14ac:dyDescent="0.2">
      <c r="A335" t="s">
        <v>254</v>
      </c>
    </row>
    <row r="336" spans="1:1" x14ac:dyDescent="0.2">
      <c r="A336" t="s">
        <v>255</v>
      </c>
    </row>
    <row r="337" spans="1:1" x14ac:dyDescent="0.2">
      <c r="A337" t="s">
        <v>253</v>
      </c>
    </row>
    <row r="338" spans="1:1" x14ac:dyDescent="0.2">
      <c r="A338" t="s">
        <v>347</v>
      </c>
    </row>
    <row r="339" spans="1:1" x14ac:dyDescent="0.2">
      <c r="A339" t="s">
        <v>258</v>
      </c>
    </row>
    <row r="340" spans="1:1" x14ac:dyDescent="0.2">
      <c r="A340" t="s">
        <v>257</v>
      </c>
    </row>
    <row r="341" spans="1:1" x14ac:dyDescent="0.2">
      <c r="A341" t="s">
        <v>260</v>
      </c>
    </row>
    <row r="342" spans="1:1" x14ac:dyDescent="0.2">
      <c r="A342" t="s">
        <v>259</v>
      </c>
    </row>
    <row r="343" spans="1:1" x14ac:dyDescent="0.2">
      <c r="A343" t="s">
        <v>261</v>
      </c>
    </row>
    <row r="344" spans="1:1" x14ac:dyDescent="0.2">
      <c r="A344" t="s">
        <v>268</v>
      </c>
    </row>
    <row r="345" spans="1:1" x14ac:dyDescent="0.2">
      <c r="A345" t="s">
        <v>265</v>
      </c>
    </row>
    <row r="346" spans="1:1" x14ac:dyDescent="0.2">
      <c r="A346" t="s">
        <v>979</v>
      </c>
    </row>
    <row r="347" spans="1:1" x14ac:dyDescent="0.2">
      <c r="A347" t="s">
        <v>262</v>
      </c>
    </row>
    <row r="348" spans="1:1" x14ac:dyDescent="0.2">
      <c r="A348" t="s">
        <v>264</v>
      </c>
    </row>
    <row r="349" spans="1:1" x14ac:dyDescent="0.2">
      <c r="A349" t="s">
        <v>263</v>
      </c>
    </row>
    <row r="350" spans="1:1" x14ac:dyDescent="0.2">
      <c r="A350" t="s">
        <v>266</v>
      </c>
    </row>
    <row r="351" spans="1:1" x14ac:dyDescent="0.2">
      <c r="A351" t="s">
        <v>267</v>
      </c>
    </row>
    <row r="352" spans="1:1" x14ac:dyDescent="0.2">
      <c r="A352" t="s">
        <v>270</v>
      </c>
    </row>
    <row r="353" spans="1:1" x14ac:dyDescent="0.2">
      <c r="A353" t="s">
        <v>269</v>
      </c>
    </row>
    <row r="354" spans="1:1" x14ac:dyDescent="0.2">
      <c r="A354" t="s">
        <v>274</v>
      </c>
    </row>
    <row r="355" spans="1:1" x14ac:dyDescent="0.2">
      <c r="A355" t="s">
        <v>26</v>
      </c>
    </row>
    <row r="356" spans="1:1" x14ac:dyDescent="0.2">
      <c r="A356" t="s">
        <v>271</v>
      </c>
    </row>
    <row r="357" spans="1:1" x14ac:dyDescent="0.2">
      <c r="A357" t="s">
        <v>272</v>
      </c>
    </row>
    <row r="358" spans="1:1" x14ac:dyDescent="0.2">
      <c r="A358" t="s">
        <v>330</v>
      </c>
    </row>
    <row r="359" spans="1:1" x14ac:dyDescent="0.2">
      <c r="A359" t="s">
        <v>273</v>
      </c>
    </row>
    <row r="360" spans="1:1" x14ac:dyDescent="0.2">
      <c r="A360" t="s">
        <v>278</v>
      </c>
    </row>
    <row r="361" spans="1:1" x14ac:dyDescent="0.2">
      <c r="A361" t="s">
        <v>276</v>
      </c>
    </row>
    <row r="362" spans="1:1" x14ac:dyDescent="0.2">
      <c r="A362" t="s">
        <v>275</v>
      </c>
    </row>
    <row r="363" spans="1:1" x14ac:dyDescent="0.2">
      <c r="A363" t="s">
        <v>280</v>
      </c>
    </row>
    <row r="364" spans="1:1" x14ac:dyDescent="0.2">
      <c r="A364" t="s">
        <v>277</v>
      </c>
    </row>
    <row r="365" spans="1:1" x14ac:dyDescent="0.2">
      <c r="A365" t="s">
        <v>279</v>
      </c>
    </row>
    <row r="366" spans="1:1" x14ac:dyDescent="0.2">
      <c r="A366" t="s">
        <v>286</v>
      </c>
    </row>
    <row r="367" spans="1:1" x14ac:dyDescent="0.2">
      <c r="A367" t="s">
        <v>284</v>
      </c>
    </row>
    <row r="368" spans="1:1" x14ac:dyDescent="0.2">
      <c r="A368" t="s">
        <v>281</v>
      </c>
    </row>
    <row r="369" spans="1:1" x14ac:dyDescent="0.2">
      <c r="A369" t="s">
        <v>283</v>
      </c>
    </row>
    <row r="370" spans="1:1" x14ac:dyDescent="0.2">
      <c r="A370" t="s">
        <v>334</v>
      </c>
    </row>
    <row r="371" spans="1:1" x14ac:dyDescent="0.2">
      <c r="A371" t="s">
        <v>282</v>
      </c>
    </row>
    <row r="372" spans="1:1" x14ac:dyDescent="0.2">
      <c r="A372" t="s">
        <v>285</v>
      </c>
    </row>
    <row r="373" spans="1:1" x14ac:dyDescent="0.2">
      <c r="A373" t="s">
        <v>288</v>
      </c>
    </row>
    <row r="374" spans="1:1" x14ac:dyDescent="0.2">
      <c r="A374" t="s">
        <v>287</v>
      </c>
    </row>
    <row r="375" spans="1:1" x14ac:dyDescent="0.2">
      <c r="A375" t="s">
        <v>289</v>
      </c>
    </row>
    <row r="376" spans="1:1" x14ac:dyDescent="0.2">
      <c r="A376" t="s">
        <v>290</v>
      </c>
    </row>
    <row r="377" spans="1:1" x14ac:dyDescent="0.2">
      <c r="A377" t="s">
        <v>292</v>
      </c>
    </row>
    <row r="378" spans="1:1" x14ac:dyDescent="0.2">
      <c r="A378" t="s">
        <v>291</v>
      </c>
    </row>
    <row r="379" spans="1:1" x14ac:dyDescent="0.2">
      <c r="A379" t="s">
        <v>293</v>
      </c>
    </row>
    <row r="380" spans="1:1" x14ac:dyDescent="0.2">
      <c r="A380" t="s">
        <v>980</v>
      </c>
    </row>
    <row r="381" spans="1:1" x14ac:dyDescent="0.2">
      <c r="A381" t="s">
        <v>294</v>
      </c>
    </row>
    <row r="382" spans="1:1" x14ac:dyDescent="0.2">
      <c r="A382" t="s">
        <v>295</v>
      </c>
    </row>
    <row r="383" spans="1:1" x14ac:dyDescent="0.2">
      <c r="A383" t="s">
        <v>296</v>
      </c>
    </row>
    <row r="384" spans="1:1" x14ac:dyDescent="0.2">
      <c r="A384" t="s">
        <v>297</v>
      </c>
    </row>
    <row r="385" spans="1:1" x14ac:dyDescent="0.2">
      <c r="A385" t="s">
        <v>298</v>
      </c>
    </row>
    <row r="386" spans="1:1" x14ac:dyDescent="0.2">
      <c r="A386" t="s">
        <v>299</v>
      </c>
    </row>
    <row r="387" spans="1:1" x14ac:dyDescent="0.2">
      <c r="A387" t="s">
        <v>300</v>
      </c>
    </row>
    <row r="389" spans="1:1" x14ac:dyDescent="0.2">
      <c r="A389" t="s">
        <v>301</v>
      </c>
    </row>
    <row r="391" spans="1:1" x14ac:dyDescent="0.2">
      <c r="A391" t="s">
        <v>302</v>
      </c>
    </row>
    <row r="392" spans="1:1" x14ac:dyDescent="0.2">
      <c r="A392" t="s">
        <v>303</v>
      </c>
    </row>
    <row r="394" spans="1:1" x14ac:dyDescent="0.2">
      <c r="A394" t="s">
        <v>1673</v>
      </c>
    </row>
    <row r="396" spans="1:1" x14ac:dyDescent="0.2">
      <c r="A396" t="s">
        <v>1674</v>
      </c>
    </row>
    <row r="397" spans="1:1" x14ac:dyDescent="0.2">
      <c r="A397" s="4" t="s">
        <v>302</v>
      </c>
    </row>
    <row r="398" spans="1:1" x14ac:dyDescent="0.2">
      <c r="A398" s="5" t="s">
        <v>303</v>
      </c>
    </row>
    <row r="399" spans="1:1" x14ac:dyDescent="0.2">
      <c r="A399" s="5" t="s">
        <v>1675</v>
      </c>
    </row>
    <row r="400" spans="1:1" x14ac:dyDescent="0.2">
      <c r="A400" s="4">
        <v>-5.0000000000000001E-3</v>
      </c>
    </row>
    <row r="401" spans="1:1" x14ac:dyDescent="0.2">
      <c r="A401" s="5" t="s">
        <v>304</v>
      </c>
    </row>
    <row r="402" spans="1:1" x14ac:dyDescent="0.2">
      <c r="A402" s="5" t="s">
        <v>1676</v>
      </c>
    </row>
    <row r="403" spans="1:1" x14ac:dyDescent="0.2">
      <c r="A403" s="5" t="s">
        <v>305</v>
      </c>
    </row>
    <row r="404" spans="1:1" x14ac:dyDescent="0.2">
      <c r="A404" s="5">
        <v>0.40820000000000001</v>
      </c>
    </row>
    <row r="405" spans="1:1" x14ac:dyDescent="0.2">
      <c r="A405" s="5" t="s">
        <v>306</v>
      </c>
    </row>
    <row r="406" spans="1:1" x14ac:dyDescent="0.2">
      <c r="A406" s="5">
        <v>9441</v>
      </c>
    </row>
    <row r="407" spans="1:1" x14ac:dyDescent="0.2">
      <c r="A407" t="s">
        <v>307</v>
      </c>
    </row>
    <row r="408" spans="1:1" x14ac:dyDescent="0.2">
      <c r="A408" t="s">
        <v>86</v>
      </c>
    </row>
    <row r="409" spans="1:1" x14ac:dyDescent="0.2">
      <c r="A409" t="s">
        <v>87</v>
      </c>
    </row>
    <row r="410" spans="1:1" x14ac:dyDescent="0.2">
      <c r="A410" t="s">
        <v>88</v>
      </c>
    </row>
    <row r="412" spans="1:1" x14ac:dyDescent="0.2">
      <c r="A412" t="s">
        <v>89</v>
      </c>
    </row>
    <row r="413" spans="1:1" x14ac:dyDescent="0.2">
      <c r="A413" t="s">
        <v>90</v>
      </c>
    </row>
    <row r="415" spans="1:1" x14ac:dyDescent="0.2">
      <c r="A415" t="s">
        <v>6</v>
      </c>
    </row>
    <row r="416" spans="1:1" x14ac:dyDescent="0.2">
      <c r="A416" t="s">
        <v>91</v>
      </c>
    </row>
    <row r="418" spans="1:1" x14ac:dyDescent="0.2">
      <c r="A418" t="s">
        <v>92</v>
      </c>
    </row>
    <row r="419" spans="1:1" x14ac:dyDescent="0.2">
      <c r="A419" t="s">
        <v>93</v>
      </c>
    </row>
    <row r="421" spans="1:1" x14ac:dyDescent="0.2">
      <c r="A421" t="s">
        <v>94</v>
      </c>
    </row>
    <row r="422" spans="1:1" x14ac:dyDescent="0.2">
      <c r="A422" t="s">
        <v>95</v>
      </c>
    </row>
    <row r="424" spans="1:1" x14ac:dyDescent="0.2">
      <c r="A424" t="s">
        <v>7</v>
      </c>
    </row>
    <row r="425" spans="1:1" x14ac:dyDescent="0.2">
      <c r="A425" t="s">
        <v>96</v>
      </c>
    </row>
    <row r="427" spans="1:1" x14ac:dyDescent="0.2">
      <c r="A427" t="s">
        <v>97</v>
      </c>
    </row>
    <row r="428" spans="1:1" x14ac:dyDescent="0.2">
      <c r="A428" t="s">
        <v>97</v>
      </c>
    </row>
    <row r="430" spans="1:1" x14ac:dyDescent="0.2">
      <c r="A430" t="s">
        <v>98</v>
      </c>
    </row>
    <row r="431" spans="1:1" x14ac:dyDescent="0.2">
      <c r="A431" t="s">
        <v>98</v>
      </c>
    </row>
    <row r="433" spans="1:1" x14ac:dyDescent="0.2">
      <c r="A433" t="s">
        <v>99</v>
      </c>
    </row>
    <row r="434" spans="1:1" x14ac:dyDescent="0.2">
      <c r="A434" t="s">
        <v>100</v>
      </c>
    </row>
    <row r="436" spans="1:1" x14ac:dyDescent="0.2">
      <c r="A436" t="s">
        <v>101</v>
      </c>
    </row>
    <row r="437" spans="1:1" x14ac:dyDescent="0.2">
      <c r="A437" t="s">
        <v>102</v>
      </c>
    </row>
    <row r="439" spans="1:1" x14ac:dyDescent="0.2">
      <c r="A439" t="s">
        <v>3</v>
      </c>
    </row>
    <row r="440" spans="1:1" x14ac:dyDescent="0.2">
      <c r="A440" t="s">
        <v>103</v>
      </c>
    </row>
    <row r="442" spans="1:1" x14ac:dyDescent="0.2">
      <c r="A442" t="s">
        <v>104</v>
      </c>
    </row>
    <row r="443" spans="1:1" x14ac:dyDescent="0.2">
      <c r="A443" t="s">
        <v>105</v>
      </c>
    </row>
    <row r="445" spans="1:1" x14ac:dyDescent="0.2">
      <c r="A445" t="s">
        <v>106</v>
      </c>
    </row>
    <row r="447" spans="1:1" x14ac:dyDescent="0.2">
      <c r="A447" t="s">
        <v>107</v>
      </c>
    </row>
    <row r="448" spans="1:1" x14ac:dyDescent="0.2">
      <c r="A448" t="s">
        <v>108</v>
      </c>
    </row>
    <row r="450" spans="1:1" x14ac:dyDescent="0.2">
      <c r="A450" t="s">
        <v>109</v>
      </c>
    </row>
    <row r="451" spans="1:1" x14ac:dyDescent="0.2">
      <c r="A451" t="s">
        <v>110</v>
      </c>
    </row>
    <row r="453" spans="1:1" x14ac:dyDescent="0.2">
      <c r="A453" t="s">
        <v>111</v>
      </c>
    </row>
    <row r="455" spans="1:1" x14ac:dyDescent="0.2">
      <c r="A455" t="s">
        <v>112</v>
      </c>
    </row>
    <row r="456" spans="1:1" x14ac:dyDescent="0.2">
      <c r="A456" t="s">
        <v>113</v>
      </c>
    </row>
    <row r="458" spans="1:1" x14ac:dyDescent="0.2">
      <c r="A458" t="s">
        <v>114</v>
      </c>
    </row>
    <row r="459" spans="1:1" x14ac:dyDescent="0.2">
      <c r="A459" t="s">
        <v>115</v>
      </c>
    </row>
    <row r="461" spans="1:1" x14ac:dyDescent="0.2">
      <c r="A461" t="s">
        <v>116</v>
      </c>
    </row>
    <row r="462" spans="1:1" x14ac:dyDescent="0.2">
      <c r="A462" t="s">
        <v>117</v>
      </c>
    </row>
    <row r="464" spans="1:1" x14ac:dyDescent="0.2">
      <c r="A464" t="s">
        <v>118</v>
      </c>
    </row>
    <row r="465" spans="1:1" x14ac:dyDescent="0.2">
      <c r="A465" t="s">
        <v>119</v>
      </c>
    </row>
    <row r="467" spans="1:1" x14ac:dyDescent="0.2">
      <c r="A467" t="s">
        <v>120</v>
      </c>
    </row>
    <row r="468" spans="1:1" x14ac:dyDescent="0.2">
      <c r="A468" t="s">
        <v>121</v>
      </c>
    </row>
    <row r="470" spans="1:1" x14ac:dyDescent="0.2">
      <c r="A470" t="s">
        <v>122</v>
      </c>
    </row>
    <row r="471" spans="1:1" x14ac:dyDescent="0.2">
      <c r="A471" t="s">
        <v>123</v>
      </c>
    </row>
    <row r="473" spans="1:1" x14ac:dyDescent="0.2">
      <c r="A473" t="s">
        <v>124</v>
      </c>
    </row>
    <row r="474" spans="1:1" x14ac:dyDescent="0.2">
      <c r="A474" t="s">
        <v>125</v>
      </c>
    </row>
    <row r="476" spans="1:1" x14ac:dyDescent="0.2">
      <c r="A476" t="s">
        <v>126</v>
      </c>
    </row>
    <row r="477" spans="1:1" x14ac:dyDescent="0.2">
      <c r="A477" t="s">
        <v>127</v>
      </c>
    </row>
    <row r="479" spans="1:1" x14ac:dyDescent="0.2">
      <c r="A479" t="s">
        <v>128</v>
      </c>
    </row>
    <row r="481" spans="1:1" x14ac:dyDescent="0.2">
      <c r="A481" t="s">
        <v>129</v>
      </c>
    </row>
    <row r="482" spans="1:1" x14ac:dyDescent="0.2">
      <c r="A482" t="s">
        <v>130</v>
      </c>
    </row>
    <row r="484" spans="1:1" x14ac:dyDescent="0.2">
      <c r="A484" t="s">
        <v>131</v>
      </c>
    </row>
    <row r="485" spans="1:1" x14ac:dyDescent="0.2">
      <c r="A485" t="s">
        <v>132</v>
      </c>
    </row>
    <row r="487" spans="1:1" x14ac:dyDescent="0.2">
      <c r="A487" t="s">
        <v>133</v>
      </c>
    </row>
    <row r="488" spans="1:1" x14ac:dyDescent="0.2">
      <c r="A488" t="s">
        <v>134</v>
      </c>
    </row>
    <row r="490" spans="1:1" x14ac:dyDescent="0.2">
      <c r="A490" t="s">
        <v>135</v>
      </c>
    </row>
    <row r="491" spans="1:1" x14ac:dyDescent="0.2">
      <c r="A491" t="s">
        <v>136</v>
      </c>
    </row>
    <row r="493" spans="1:1" x14ac:dyDescent="0.2">
      <c r="A493" t="s">
        <v>137</v>
      </c>
    </row>
    <row r="494" spans="1:1" x14ac:dyDescent="0.2">
      <c r="A494" t="s">
        <v>138</v>
      </c>
    </row>
    <row r="496" spans="1:1" x14ac:dyDescent="0.2">
      <c r="A496" t="s">
        <v>139</v>
      </c>
    </row>
    <row r="497" spans="1:1" x14ac:dyDescent="0.2">
      <c r="A497" t="s">
        <v>140</v>
      </c>
    </row>
    <row r="499" spans="1:1" x14ac:dyDescent="0.2">
      <c r="A499" t="s">
        <v>141</v>
      </c>
    </row>
    <row r="500" spans="1:1" x14ac:dyDescent="0.2">
      <c r="A500" t="s">
        <v>142</v>
      </c>
    </row>
    <row r="502" spans="1:1" x14ac:dyDescent="0.2">
      <c r="A502" t="s">
        <v>143</v>
      </c>
    </row>
    <row r="503" spans="1:1" x14ac:dyDescent="0.2">
      <c r="A503" t="s">
        <v>144</v>
      </c>
    </row>
    <row r="505" spans="1:1" x14ac:dyDescent="0.2">
      <c r="A505" t="s">
        <v>145</v>
      </c>
    </row>
    <row r="506" spans="1:1" x14ac:dyDescent="0.2">
      <c r="A506" t="s">
        <v>146</v>
      </c>
    </row>
    <row r="508" spans="1:1" x14ac:dyDescent="0.2">
      <c r="A508" t="s">
        <v>147</v>
      </c>
    </row>
    <row r="509" spans="1:1" x14ac:dyDescent="0.2">
      <c r="A509" t="s">
        <v>148</v>
      </c>
    </row>
    <row r="511" spans="1:1" x14ac:dyDescent="0.2">
      <c r="A511" t="s">
        <v>149</v>
      </c>
    </row>
    <row r="512" spans="1:1" x14ac:dyDescent="0.2">
      <c r="A512" t="s">
        <v>150</v>
      </c>
    </row>
    <row r="514" spans="1:1" x14ac:dyDescent="0.2">
      <c r="A514" t="s">
        <v>151</v>
      </c>
    </row>
    <row r="515" spans="1:1" x14ac:dyDescent="0.2">
      <c r="A515" t="s">
        <v>152</v>
      </c>
    </row>
    <row r="517" spans="1:1" x14ac:dyDescent="0.2">
      <c r="A517" t="s">
        <v>153</v>
      </c>
    </row>
    <row r="518" spans="1:1" x14ac:dyDescent="0.2">
      <c r="A518" t="s">
        <v>154</v>
      </c>
    </row>
    <row r="520" spans="1:1" x14ac:dyDescent="0.2">
      <c r="A520" t="s">
        <v>155</v>
      </c>
    </row>
    <row r="521" spans="1:1" x14ac:dyDescent="0.2">
      <c r="A521" t="s">
        <v>156</v>
      </c>
    </row>
    <row r="523" spans="1:1" x14ac:dyDescent="0.2">
      <c r="A523" t="s">
        <v>157</v>
      </c>
    </row>
    <row r="524" spans="1:1" x14ac:dyDescent="0.2">
      <c r="A524" t="s">
        <v>158</v>
      </c>
    </row>
    <row r="526" spans="1:1" x14ac:dyDescent="0.2">
      <c r="A526" t="s">
        <v>159</v>
      </c>
    </row>
    <row r="527" spans="1:1" x14ac:dyDescent="0.2">
      <c r="A527" t="s">
        <v>160</v>
      </c>
    </row>
    <row r="529" spans="1:1" x14ac:dyDescent="0.2">
      <c r="A529" t="s">
        <v>161</v>
      </c>
    </row>
    <row r="530" spans="1:1" x14ac:dyDescent="0.2">
      <c r="A530" t="s">
        <v>162</v>
      </c>
    </row>
    <row r="532" spans="1:1" x14ac:dyDescent="0.2">
      <c r="A532" t="s">
        <v>163</v>
      </c>
    </row>
    <row r="533" spans="1:1" x14ac:dyDescent="0.2">
      <c r="A533" t="s">
        <v>164</v>
      </c>
    </row>
    <row r="535" spans="1:1" x14ac:dyDescent="0.2">
      <c r="A535" t="s">
        <v>165</v>
      </c>
    </row>
    <row r="536" spans="1:1" x14ac:dyDescent="0.2">
      <c r="A536" t="s">
        <v>166</v>
      </c>
    </row>
    <row r="538" spans="1:1" x14ac:dyDescent="0.2">
      <c r="A538" t="s">
        <v>167</v>
      </c>
    </row>
    <row r="539" spans="1:1" x14ac:dyDescent="0.2">
      <c r="A539" t="s">
        <v>168</v>
      </c>
    </row>
    <row r="541" spans="1:1" x14ac:dyDescent="0.2">
      <c r="A541" t="s">
        <v>169</v>
      </c>
    </row>
    <row r="542" spans="1:1" x14ac:dyDescent="0.2">
      <c r="A542" t="s">
        <v>170</v>
      </c>
    </row>
    <row r="544" spans="1:1" x14ac:dyDescent="0.2">
      <c r="A544" t="s">
        <v>171</v>
      </c>
    </row>
    <row r="545" spans="1:1" x14ac:dyDescent="0.2">
      <c r="A545" t="s">
        <v>172</v>
      </c>
    </row>
    <row r="547" spans="1:1" x14ac:dyDescent="0.2">
      <c r="A547" t="s">
        <v>173</v>
      </c>
    </row>
    <row r="548" spans="1:1" x14ac:dyDescent="0.2">
      <c r="A548" t="s">
        <v>174</v>
      </c>
    </row>
    <row r="550" spans="1:1" x14ac:dyDescent="0.2">
      <c r="A550" t="s">
        <v>175</v>
      </c>
    </row>
    <row r="551" spans="1:1" x14ac:dyDescent="0.2">
      <c r="A551" t="s">
        <v>176</v>
      </c>
    </row>
    <row r="553" spans="1:1" x14ac:dyDescent="0.2">
      <c r="A553" t="s">
        <v>177</v>
      </c>
    </row>
    <row r="554" spans="1:1" x14ac:dyDescent="0.2">
      <c r="A554" t="s">
        <v>178</v>
      </c>
    </row>
    <row r="556" spans="1:1" x14ac:dyDescent="0.2">
      <c r="A556" t="s">
        <v>179</v>
      </c>
    </row>
    <row r="557" spans="1:1" x14ac:dyDescent="0.2">
      <c r="A557" t="s">
        <v>180</v>
      </c>
    </row>
    <row r="559" spans="1:1" x14ac:dyDescent="0.2">
      <c r="A559" t="s">
        <v>181</v>
      </c>
    </row>
    <row r="560" spans="1:1" x14ac:dyDescent="0.2">
      <c r="A560" t="s">
        <v>182</v>
      </c>
    </row>
    <row r="562" spans="1:1" x14ac:dyDescent="0.2">
      <c r="A562" t="s">
        <v>183</v>
      </c>
    </row>
    <row r="563" spans="1:1" x14ac:dyDescent="0.2">
      <c r="A563" t="s">
        <v>184</v>
      </c>
    </row>
    <row r="565" spans="1:1" x14ac:dyDescent="0.2">
      <c r="A565" t="s">
        <v>185</v>
      </c>
    </row>
    <row r="566" spans="1:1" x14ac:dyDescent="0.2">
      <c r="A566" t="s">
        <v>186</v>
      </c>
    </row>
    <row r="568" spans="1:1" x14ac:dyDescent="0.2">
      <c r="A568" t="s">
        <v>187</v>
      </c>
    </row>
    <row r="569" spans="1:1" x14ac:dyDescent="0.2">
      <c r="A569" t="s">
        <v>188</v>
      </c>
    </row>
    <row r="571" spans="1:1" x14ac:dyDescent="0.2">
      <c r="A571" t="s">
        <v>189</v>
      </c>
    </row>
    <row r="572" spans="1:1" x14ac:dyDescent="0.2">
      <c r="A572" t="s">
        <v>190</v>
      </c>
    </row>
    <row r="574" spans="1:1" x14ac:dyDescent="0.2">
      <c r="A574" t="s">
        <v>191</v>
      </c>
    </row>
    <row r="575" spans="1:1" x14ac:dyDescent="0.2">
      <c r="A575" t="s">
        <v>192</v>
      </c>
    </row>
    <row r="577" spans="1:1" x14ac:dyDescent="0.2">
      <c r="A577" t="s">
        <v>193</v>
      </c>
    </row>
    <row r="578" spans="1:1" x14ac:dyDescent="0.2">
      <c r="A578" t="s">
        <v>194</v>
      </c>
    </row>
    <row r="580" spans="1:1" x14ac:dyDescent="0.2">
      <c r="A580" t="s">
        <v>195</v>
      </c>
    </row>
    <row r="581" spans="1:1" x14ac:dyDescent="0.2">
      <c r="A581" t="s">
        <v>196</v>
      </c>
    </row>
    <row r="583" spans="1:1" x14ac:dyDescent="0.2">
      <c r="A583" t="s">
        <v>197</v>
      </c>
    </row>
    <row r="584" spans="1:1" x14ac:dyDescent="0.2">
      <c r="A584" t="s">
        <v>198</v>
      </c>
    </row>
    <row r="586" spans="1:1" x14ac:dyDescent="0.2">
      <c r="A586" t="s">
        <v>199</v>
      </c>
    </row>
    <row r="587" spans="1:1" x14ac:dyDescent="0.2">
      <c r="A587" t="s">
        <v>200</v>
      </c>
    </row>
    <row r="589" spans="1:1" x14ac:dyDescent="0.2">
      <c r="A589" t="s">
        <v>201</v>
      </c>
    </row>
    <row r="590" spans="1:1" x14ac:dyDescent="0.2">
      <c r="A590" t="s">
        <v>202</v>
      </c>
    </row>
    <row r="592" spans="1:1" x14ac:dyDescent="0.2">
      <c r="A592" t="s">
        <v>203</v>
      </c>
    </row>
    <row r="593" spans="1:1" x14ac:dyDescent="0.2">
      <c r="A593" t="s">
        <v>204</v>
      </c>
    </row>
    <row r="595" spans="1:1" x14ac:dyDescent="0.2">
      <c r="A595" t="s">
        <v>205</v>
      </c>
    </row>
    <row r="597" spans="1:1" x14ac:dyDescent="0.2">
      <c r="A597" t="s">
        <v>206</v>
      </c>
    </row>
    <row r="598" spans="1:1" x14ac:dyDescent="0.2">
      <c r="A598" t="s">
        <v>207</v>
      </c>
    </row>
    <row r="600" spans="1:1" x14ac:dyDescent="0.2">
      <c r="A600" t="s">
        <v>208</v>
      </c>
    </row>
    <row r="601" spans="1:1" x14ac:dyDescent="0.2">
      <c r="A601" t="s">
        <v>209</v>
      </c>
    </row>
    <row r="603" spans="1:1" x14ac:dyDescent="0.2">
      <c r="A603" t="s">
        <v>308</v>
      </c>
    </row>
    <row r="605" spans="1:1" x14ac:dyDescent="0.2">
      <c r="A605" t="s">
        <v>309</v>
      </c>
    </row>
    <row r="606" spans="1:1" x14ac:dyDescent="0.2">
      <c r="A606" t="s">
        <v>293</v>
      </c>
    </row>
    <row r="607" spans="1:1" x14ac:dyDescent="0.2">
      <c r="A607" t="s">
        <v>272</v>
      </c>
    </row>
    <row r="608" spans="1:1" x14ac:dyDescent="0.2">
      <c r="A608" t="s">
        <v>1033</v>
      </c>
    </row>
    <row r="609" spans="1:1" x14ac:dyDescent="0.2">
      <c r="A609" t="s">
        <v>310</v>
      </c>
    </row>
    <row r="610" spans="1:1" x14ac:dyDescent="0.2">
      <c r="A610" t="s">
        <v>260</v>
      </c>
    </row>
    <row r="611" spans="1:1" x14ac:dyDescent="0.2">
      <c r="A611" t="s">
        <v>311</v>
      </c>
    </row>
    <row r="612" spans="1:1" x14ac:dyDescent="0.2">
      <c r="A612" t="s">
        <v>312</v>
      </c>
    </row>
    <row r="613" spans="1:1" x14ac:dyDescent="0.2">
      <c r="A613" t="s">
        <v>258</v>
      </c>
    </row>
    <row r="614" spans="1:1" x14ac:dyDescent="0.2">
      <c r="A614" t="s">
        <v>268</v>
      </c>
    </row>
    <row r="615" spans="1:1" x14ac:dyDescent="0.2">
      <c r="A615" t="s">
        <v>313</v>
      </c>
    </row>
    <row r="616" spans="1:1" x14ac:dyDescent="0.2">
      <c r="A616" t="s">
        <v>314</v>
      </c>
    </row>
    <row r="617" spans="1:1" x14ac:dyDescent="0.2">
      <c r="A617" t="s">
        <v>315</v>
      </c>
    </row>
    <row r="618" spans="1:1" x14ac:dyDescent="0.2">
      <c r="A618" t="s">
        <v>247</v>
      </c>
    </row>
    <row r="619" spans="1:1" x14ac:dyDescent="0.2">
      <c r="A619" t="s">
        <v>316</v>
      </c>
    </row>
    <row r="620" spans="1:1" x14ac:dyDescent="0.2">
      <c r="A620" t="s">
        <v>317</v>
      </c>
    </row>
    <row r="621" spans="1:1" x14ac:dyDescent="0.2">
      <c r="A621" t="s">
        <v>992</v>
      </c>
    </row>
    <row r="622" spans="1:1" x14ac:dyDescent="0.2">
      <c r="A622" t="s">
        <v>248</v>
      </c>
    </row>
    <row r="623" spans="1:1" x14ac:dyDescent="0.2">
      <c r="A623" t="s">
        <v>318</v>
      </c>
    </row>
    <row r="624" spans="1:1" x14ac:dyDescent="0.2">
      <c r="A624" t="s">
        <v>319</v>
      </c>
    </row>
    <row r="625" spans="1:1" x14ac:dyDescent="0.2">
      <c r="A625" t="s">
        <v>320</v>
      </c>
    </row>
    <row r="626" spans="1:1" x14ac:dyDescent="0.2">
      <c r="A626" t="s">
        <v>321</v>
      </c>
    </row>
    <row r="627" spans="1:1" x14ac:dyDescent="0.2">
      <c r="A627" t="s">
        <v>322</v>
      </c>
    </row>
    <row r="628" spans="1:1" x14ac:dyDescent="0.2">
      <c r="A628" t="s">
        <v>256</v>
      </c>
    </row>
    <row r="629" spans="1:1" x14ac:dyDescent="0.2">
      <c r="A629" t="s">
        <v>323</v>
      </c>
    </row>
    <row r="630" spans="1:1" x14ac:dyDescent="0.2">
      <c r="A630" t="s">
        <v>324</v>
      </c>
    </row>
    <row r="631" spans="1:1" x14ac:dyDescent="0.2">
      <c r="A631" t="s">
        <v>255</v>
      </c>
    </row>
    <row r="632" spans="1:1" x14ac:dyDescent="0.2">
      <c r="A632" t="s">
        <v>245</v>
      </c>
    </row>
    <row r="633" spans="1:1" x14ac:dyDescent="0.2">
      <c r="A633" t="s">
        <v>288</v>
      </c>
    </row>
    <row r="634" spans="1:1" x14ac:dyDescent="0.2">
      <c r="A634" t="s">
        <v>26</v>
      </c>
    </row>
    <row r="635" spans="1:1" x14ac:dyDescent="0.2">
      <c r="A635" t="s">
        <v>325</v>
      </c>
    </row>
    <row r="636" spans="1:1" x14ac:dyDescent="0.2">
      <c r="A636" t="s">
        <v>326</v>
      </c>
    </row>
    <row r="637" spans="1:1" x14ac:dyDescent="0.2">
      <c r="A637" t="s">
        <v>327</v>
      </c>
    </row>
    <row r="638" spans="1:1" x14ac:dyDescent="0.2">
      <c r="A638" t="s">
        <v>328</v>
      </c>
    </row>
    <row r="639" spans="1:1" x14ac:dyDescent="0.2">
      <c r="A639" t="s">
        <v>274</v>
      </c>
    </row>
    <row r="640" spans="1:1" x14ac:dyDescent="0.2">
      <c r="A640" t="s">
        <v>329</v>
      </c>
    </row>
    <row r="641" spans="1:1" x14ac:dyDescent="0.2">
      <c r="A641" t="s">
        <v>244</v>
      </c>
    </row>
    <row r="642" spans="1:1" x14ac:dyDescent="0.2">
      <c r="A642" t="s">
        <v>290</v>
      </c>
    </row>
    <row r="643" spans="1:1" x14ac:dyDescent="0.2">
      <c r="A643" t="s">
        <v>330</v>
      </c>
    </row>
    <row r="644" spans="1:1" x14ac:dyDescent="0.2">
      <c r="A644" t="s">
        <v>261</v>
      </c>
    </row>
    <row r="645" spans="1:1" x14ac:dyDescent="0.2">
      <c r="A645" t="s">
        <v>287</v>
      </c>
    </row>
    <row r="646" spans="1:1" x14ac:dyDescent="0.2">
      <c r="A646" t="s">
        <v>269</v>
      </c>
    </row>
    <row r="647" spans="1:1" x14ac:dyDescent="0.2">
      <c r="A647" t="s">
        <v>331</v>
      </c>
    </row>
    <row r="648" spans="1:1" x14ac:dyDescent="0.2">
      <c r="A648" t="s">
        <v>332</v>
      </c>
    </row>
    <row r="649" spans="1:1" x14ac:dyDescent="0.2">
      <c r="A649" t="s">
        <v>252</v>
      </c>
    </row>
    <row r="650" spans="1:1" x14ac:dyDescent="0.2">
      <c r="A650" t="s">
        <v>979</v>
      </c>
    </row>
    <row r="651" spans="1:1" x14ac:dyDescent="0.2">
      <c r="A651" t="s">
        <v>333</v>
      </c>
    </row>
    <row r="652" spans="1:1" x14ac:dyDescent="0.2">
      <c r="A652" t="s">
        <v>334</v>
      </c>
    </row>
    <row r="653" spans="1:1" x14ac:dyDescent="0.2">
      <c r="A653" t="s">
        <v>335</v>
      </c>
    </row>
    <row r="654" spans="1:1" x14ac:dyDescent="0.2">
      <c r="A654" t="s">
        <v>336</v>
      </c>
    </row>
    <row r="655" spans="1:1" x14ac:dyDescent="0.2">
      <c r="A655" t="s">
        <v>281</v>
      </c>
    </row>
    <row r="656" spans="1:1" x14ac:dyDescent="0.2">
      <c r="A656" t="s">
        <v>263</v>
      </c>
    </row>
    <row r="657" spans="1:1" x14ac:dyDescent="0.2">
      <c r="A657" t="s">
        <v>337</v>
      </c>
    </row>
    <row r="658" spans="1:1" x14ac:dyDescent="0.2">
      <c r="A658" t="s">
        <v>338</v>
      </c>
    </row>
    <row r="659" spans="1:1" x14ac:dyDescent="0.2">
      <c r="A659" t="s">
        <v>339</v>
      </c>
    </row>
    <row r="660" spans="1:1" x14ac:dyDescent="0.2">
      <c r="A660" t="s">
        <v>340</v>
      </c>
    </row>
    <row r="661" spans="1:1" x14ac:dyDescent="0.2">
      <c r="A661" t="s">
        <v>264</v>
      </c>
    </row>
    <row r="662" spans="1:1" x14ac:dyDescent="0.2">
      <c r="A662" t="s">
        <v>341</v>
      </c>
    </row>
    <row r="663" spans="1:1" x14ac:dyDescent="0.2">
      <c r="A663" t="s">
        <v>342</v>
      </c>
    </row>
    <row r="664" spans="1:1" x14ac:dyDescent="0.2">
      <c r="A664" t="s">
        <v>343</v>
      </c>
    </row>
    <row r="665" spans="1:1" x14ac:dyDescent="0.2">
      <c r="A665" t="s">
        <v>344</v>
      </c>
    </row>
    <row r="666" spans="1:1" x14ac:dyDescent="0.2">
      <c r="A666" t="s">
        <v>273</v>
      </c>
    </row>
    <row r="667" spans="1:1" x14ac:dyDescent="0.2">
      <c r="A667" t="s">
        <v>345</v>
      </c>
    </row>
    <row r="668" spans="1:1" x14ac:dyDescent="0.2">
      <c r="A668" t="s">
        <v>253</v>
      </c>
    </row>
    <row r="669" spans="1:1" x14ac:dyDescent="0.2">
      <c r="A669" t="s">
        <v>279</v>
      </c>
    </row>
    <row r="670" spans="1:1" x14ac:dyDescent="0.2">
      <c r="A670" t="s">
        <v>284</v>
      </c>
    </row>
    <row r="671" spans="1:1" x14ac:dyDescent="0.2">
      <c r="A671" t="s">
        <v>346</v>
      </c>
    </row>
    <row r="672" spans="1:1" x14ac:dyDescent="0.2">
      <c r="A672" t="s">
        <v>282</v>
      </c>
    </row>
    <row r="673" spans="1:1" x14ac:dyDescent="0.2">
      <c r="A673" t="s">
        <v>347</v>
      </c>
    </row>
    <row r="674" spans="1:1" x14ac:dyDescent="0.2">
      <c r="A674" t="s">
        <v>348</v>
      </c>
    </row>
    <row r="675" spans="1:1" x14ac:dyDescent="0.2">
      <c r="A675" t="s">
        <v>349</v>
      </c>
    </row>
    <row r="676" spans="1:1" x14ac:dyDescent="0.2">
      <c r="A676" t="s">
        <v>257</v>
      </c>
    </row>
    <row r="677" spans="1:1" x14ac:dyDescent="0.2">
      <c r="A677" t="s">
        <v>350</v>
      </c>
    </row>
    <row r="678" spans="1:1" x14ac:dyDescent="0.2">
      <c r="A678" t="s">
        <v>292</v>
      </c>
    </row>
    <row r="679" spans="1:1" x14ac:dyDescent="0.2">
      <c r="A679" t="s">
        <v>266</v>
      </c>
    </row>
    <row r="680" spans="1:1" x14ac:dyDescent="0.2">
      <c r="A680" t="s">
        <v>351</v>
      </c>
    </row>
    <row r="681" spans="1:1" x14ac:dyDescent="0.2">
      <c r="A681" t="s">
        <v>280</v>
      </c>
    </row>
    <row r="682" spans="1:1" x14ac:dyDescent="0.2">
      <c r="A682" t="s">
        <v>352</v>
      </c>
    </row>
    <row r="683" spans="1:1" x14ac:dyDescent="0.2">
      <c r="A683" t="s">
        <v>251</v>
      </c>
    </row>
    <row r="684" spans="1:1" x14ac:dyDescent="0.2">
      <c r="A684" t="s">
        <v>250</v>
      </c>
    </row>
    <row r="685" spans="1:1" x14ac:dyDescent="0.2">
      <c r="A685" t="s">
        <v>285</v>
      </c>
    </row>
    <row r="686" spans="1:1" x14ac:dyDescent="0.2">
      <c r="A686" t="s">
        <v>267</v>
      </c>
    </row>
    <row r="687" spans="1:1" x14ac:dyDescent="0.2">
      <c r="A687" t="s">
        <v>353</v>
      </c>
    </row>
    <row r="688" spans="1:1" x14ac:dyDescent="0.2">
      <c r="A688" t="s">
        <v>354</v>
      </c>
    </row>
    <row r="689" spans="1:1" x14ac:dyDescent="0.2">
      <c r="A689" t="s">
        <v>355</v>
      </c>
    </row>
    <row r="690" spans="1:1" x14ac:dyDescent="0.2">
      <c r="A690" t="s">
        <v>286</v>
      </c>
    </row>
    <row r="691" spans="1:1" x14ac:dyDescent="0.2">
      <c r="A691" t="s">
        <v>356</v>
      </c>
    </row>
    <row r="692" spans="1:1" x14ac:dyDescent="0.2">
      <c r="A692" t="s">
        <v>357</v>
      </c>
    </row>
    <row r="693" spans="1:1" x14ac:dyDescent="0.2">
      <c r="A693" t="s">
        <v>358</v>
      </c>
    </row>
    <row r="694" spans="1:1" x14ac:dyDescent="0.2">
      <c r="A694" t="s">
        <v>278</v>
      </c>
    </row>
    <row r="695" spans="1:1" x14ac:dyDescent="0.2">
      <c r="A695" t="s">
        <v>243</v>
      </c>
    </row>
    <row r="696" spans="1:1" x14ac:dyDescent="0.2">
      <c r="A696" t="s">
        <v>289</v>
      </c>
    </row>
    <row r="697" spans="1:1" x14ac:dyDescent="0.2">
      <c r="A697" t="s">
        <v>359</v>
      </c>
    </row>
    <row r="698" spans="1:1" x14ac:dyDescent="0.2">
      <c r="A698" t="s">
        <v>249</v>
      </c>
    </row>
    <row r="699" spans="1:1" x14ac:dyDescent="0.2">
      <c r="A699" t="s">
        <v>275</v>
      </c>
    </row>
    <row r="700" spans="1:1" x14ac:dyDescent="0.2">
      <c r="A700" t="s">
        <v>246</v>
      </c>
    </row>
    <row r="701" spans="1:1" x14ac:dyDescent="0.2">
      <c r="A701" t="s">
        <v>262</v>
      </c>
    </row>
    <row r="702" spans="1:1" x14ac:dyDescent="0.2">
      <c r="A702" t="s">
        <v>277</v>
      </c>
    </row>
    <row r="703" spans="1:1" x14ac:dyDescent="0.2">
      <c r="A703" t="s">
        <v>283</v>
      </c>
    </row>
    <row r="704" spans="1:1" x14ac:dyDescent="0.2">
      <c r="A704" t="s">
        <v>360</v>
      </c>
    </row>
    <row r="705" spans="1:1" x14ac:dyDescent="0.2">
      <c r="A705" t="s">
        <v>265</v>
      </c>
    </row>
    <row r="706" spans="1:1" x14ac:dyDescent="0.2">
      <c r="A706" t="s">
        <v>361</v>
      </c>
    </row>
    <row r="707" spans="1:1" x14ac:dyDescent="0.2">
      <c r="A707" t="s">
        <v>362</v>
      </c>
    </row>
    <row r="708" spans="1:1" x14ac:dyDescent="0.2">
      <c r="A708" t="s">
        <v>363</v>
      </c>
    </row>
    <row r="709" spans="1:1" x14ac:dyDescent="0.2">
      <c r="A709" t="s">
        <v>364</v>
      </c>
    </row>
    <row r="710" spans="1:1" x14ac:dyDescent="0.2">
      <c r="A710" t="s">
        <v>291</v>
      </c>
    </row>
    <row r="711" spans="1:1" x14ac:dyDescent="0.2">
      <c r="A711" t="s">
        <v>365</v>
      </c>
    </row>
    <row r="712" spans="1:1" x14ac:dyDescent="0.2">
      <c r="A712" t="s">
        <v>366</v>
      </c>
    </row>
    <row r="713" spans="1:1" x14ac:dyDescent="0.2">
      <c r="A713" t="s">
        <v>367</v>
      </c>
    </row>
    <row r="714" spans="1:1" x14ac:dyDescent="0.2">
      <c r="A714" t="s">
        <v>368</v>
      </c>
    </row>
    <row r="715" spans="1:1" x14ac:dyDescent="0.2">
      <c r="A715" t="s">
        <v>369</v>
      </c>
    </row>
    <row r="716" spans="1:1" x14ac:dyDescent="0.2">
      <c r="A716" t="s">
        <v>270</v>
      </c>
    </row>
    <row r="717" spans="1:1" x14ac:dyDescent="0.2">
      <c r="A717" t="s">
        <v>259</v>
      </c>
    </row>
    <row r="718" spans="1:1" x14ac:dyDescent="0.2">
      <c r="A718" t="s">
        <v>271</v>
      </c>
    </row>
    <row r="719" spans="1:1" x14ac:dyDescent="0.2">
      <c r="A719" t="s">
        <v>276</v>
      </c>
    </row>
    <row r="720" spans="1:1" x14ac:dyDescent="0.2">
      <c r="A720" t="s">
        <v>254</v>
      </c>
    </row>
    <row r="722" spans="1:1" x14ac:dyDescent="0.2">
      <c r="A722" t="s">
        <v>370</v>
      </c>
    </row>
    <row r="725" spans="1:1" x14ac:dyDescent="0.2">
      <c r="A725" t="s">
        <v>371</v>
      </c>
    </row>
    <row r="727" spans="1:1" x14ac:dyDescent="0.2">
      <c r="A727" t="s">
        <v>372</v>
      </c>
    </row>
    <row r="729" spans="1:1" x14ac:dyDescent="0.2">
      <c r="A729" t="s">
        <v>373</v>
      </c>
    </row>
    <row r="730" spans="1:1" x14ac:dyDescent="0.2">
      <c r="A730" t="s">
        <v>374</v>
      </c>
    </row>
    <row r="731" spans="1:1" x14ac:dyDescent="0.2">
      <c r="A731" t="s">
        <v>375</v>
      </c>
    </row>
    <row r="733" spans="1:1" x14ac:dyDescent="0.2">
      <c r="A733" t="s">
        <v>376</v>
      </c>
    </row>
    <row r="734" spans="1:1" x14ac:dyDescent="0.2">
      <c r="A734" t="s">
        <v>377</v>
      </c>
    </row>
    <row r="736" spans="1:1" x14ac:dyDescent="0.2">
      <c r="A736" t="s">
        <v>86</v>
      </c>
    </row>
    <row r="737" spans="1:1" x14ac:dyDescent="0.2">
      <c r="A737" t="s">
        <v>87</v>
      </c>
    </row>
    <row r="738" spans="1:1" x14ac:dyDescent="0.2">
      <c r="A738" t="s">
        <v>88</v>
      </c>
    </row>
    <row r="740" spans="1:1" x14ac:dyDescent="0.2">
      <c r="A740" t="s">
        <v>89</v>
      </c>
    </row>
    <row r="741" spans="1:1" x14ac:dyDescent="0.2">
      <c r="A741" t="s">
        <v>90</v>
      </c>
    </row>
    <row r="743" spans="1:1" x14ac:dyDescent="0.2">
      <c r="A743" t="s">
        <v>6</v>
      </c>
    </row>
    <row r="744" spans="1:1" x14ac:dyDescent="0.2">
      <c r="A744" t="s">
        <v>91</v>
      </c>
    </row>
    <row r="746" spans="1:1" x14ac:dyDescent="0.2">
      <c r="A746" t="s">
        <v>92</v>
      </c>
    </row>
    <row r="747" spans="1:1" x14ac:dyDescent="0.2">
      <c r="A747" t="s">
        <v>93</v>
      </c>
    </row>
    <row r="749" spans="1:1" x14ac:dyDescent="0.2">
      <c r="A749" t="s">
        <v>94</v>
      </c>
    </row>
    <row r="750" spans="1:1" x14ac:dyDescent="0.2">
      <c r="A750" t="s">
        <v>95</v>
      </c>
    </row>
    <row r="752" spans="1:1" x14ac:dyDescent="0.2">
      <c r="A752" t="s">
        <v>7</v>
      </c>
    </row>
    <row r="753" spans="1:1" x14ac:dyDescent="0.2">
      <c r="A753" t="s">
        <v>96</v>
      </c>
    </row>
    <row r="755" spans="1:1" x14ac:dyDescent="0.2">
      <c r="A755" t="s">
        <v>97</v>
      </c>
    </row>
    <row r="756" spans="1:1" x14ac:dyDescent="0.2">
      <c r="A756" t="s">
        <v>97</v>
      </c>
    </row>
    <row r="758" spans="1:1" x14ac:dyDescent="0.2">
      <c r="A758" t="s">
        <v>98</v>
      </c>
    </row>
    <row r="759" spans="1:1" x14ac:dyDescent="0.2">
      <c r="A759" t="s">
        <v>98</v>
      </c>
    </row>
    <row r="761" spans="1:1" x14ac:dyDescent="0.2">
      <c r="A761" t="s">
        <v>99</v>
      </c>
    </row>
    <row r="762" spans="1:1" x14ac:dyDescent="0.2">
      <c r="A762" t="s">
        <v>100</v>
      </c>
    </row>
    <row r="764" spans="1:1" x14ac:dyDescent="0.2">
      <c r="A764" t="s">
        <v>101</v>
      </c>
    </row>
    <row r="765" spans="1:1" x14ac:dyDescent="0.2">
      <c r="A765" t="s">
        <v>102</v>
      </c>
    </row>
    <row r="767" spans="1:1" x14ac:dyDescent="0.2">
      <c r="A767" t="s">
        <v>3</v>
      </c>
    </row>
    <row r="768" spans="1:1" x14ac:dyDescent="0.2">
      <c r="A768" t="s">
        <v>103</v>
      </c>
    </row>
    <row r="770" spans="1:1" x14ac:dyDescent="0.2">
      <c r="A770" t="s">
        <v>104</v>
      </c>
    </row>
    <row r="771" spans="1:1" x14ac:dyDescent="0.2">
      <c r="A771" t="s">
        <v>105</v>
      </c>
    </row>
    <row r="773" spans="1:1" x14ac:dyDescent="0.2">
      <c r="A773" t="s">
        <v>106</v>
      </c>
    </row>
    <row r="775" spans="1:1" x14ac:dyDescent="0.2">
      <c r="A775" t="s">
        <v>107</v>
      </c>
    </row>
    <row r="776" spans="1:1" x14ac:dyDescent="0.2">
      <c r="A776" t="s">
        <v>108</v>
      </c>
    </row>
    <row r="778" spans="1:1" x14ac:dyDescent="0.2">
      <c r="A778" t="s">
        <v>109</v>
      </c>
    </row>
    <row r="779" spans="1:1" x14ac:dyDescent="0.2">
      <c r="A779" t="s">
        <v>110</v>
      </c>
    </row>
    <row r="781" spans="1:1" x14ac:dyDescent="0.2">
      <c r="A781" t="s">
        <v>111</v>
      </c>
    </row>
    <row r="783" spans="1:1" x14ac:dyDescent="0.2">
      <c r="A783" t="s">
        <v>112</v>
      </c>
    </row>
    <row r="784" spans="1:1" x14ac:dyDescent="0.2">
      <c r="A784" t="s">
        <v>113</v>
      </c>
    </row>
    <row r="786" spans="1:1" x14ac:dyDescent="0.2">
      <c r="A786" t="s">
        <v>114</v>
      </c>
    </row>
    <row r="787" spans="1:1" x14ac:dyDescent="0.2">
      <c r="A787" t="s">
        <v>115</v>
      </c>
    </row>
    <row r="789" spans="1:1" x14ac:dyDescent="0.2">
      <c r="A789" t="s">
        <v>116</v>
      </c>
    </row>
    <row r="790" spans="1:1" x14ac:dyDescent="0.2">
      <c r="A790" t="s">
        <v>117</v>
      </c>
    </row>
    <row r="792" spans="1:1" x14ac:dyDescent="0.2">
      <c r="A792" t="s">
        <v>118</v>
      </c>
    </row>
    <row r="793" spans="1:1" x14ac:dyDescent="0.2">
      <c r="A793" t="s">
        <v>119</v>
      </c>
    </row>
    <row r="795" spans="1:1" x14ac:dyDescent="0.2">
      <c r="A795" t="s">
        <v>120</v>
      </c>
    </row>
    <row r="796" spans="1:1" x14ac:dyDescent="0.2">
      <c r="A796" t="s">
        <v>121</v>
      </c>
    </row>
    <row r="798" spans="1:1" x14ac:dyDescent="0.2">
      <c r="A798" t="s">
        <v>122</v>
      </c>
    </row>
    <row r="799" spans="1:1" x14ac:dyDescent="0.2">
      <c r="A799" t="s">
        <v>123</v>
      </c>
    </row>
    <row r="801" spans="1:1" x14ac:dyDescent="0.2">
      <c r="A801" t="s">
        <v>124</v>
      </c>
    </row>
    <row r="802" spans="1:1" x14ac:dyDescent="0.2">
      <c r="A802" t="s">
        <v>125</v>
      </c>
    </row>
    <row r="804" spans="1:1" x14ac:dyDescent="0.2">
      <c r="A804" t="s">
        <v>126</v>
      </c>
    </row>
    <row r="805" spans="1:1" x14ac:dyDescent="0.2">
      <c r="A805" t="s">
        <v>127</v>
      </c>
    </row>
    <row r="807" spans="1:1" x14ac:dyDescent="0.2">
      <c r="A807" t="s">
        <v>128</v>
      </c>
    </row>
    <row r="809" spans="1:1" x14ac:dyDescent="0.2">
      <c r="A809" t="s">
        <v>129</v>
      </c>
    </row>
    <row r="810" spans="1:1" x14ac:dyDescent="0.2">
      <c r="A810" t="s">
        <v>130</v>
      </c>
    </row>
    <row r="812" spans="1:1" x14ac:dyDescent="0.2">
      <c r="A812" t="s">
        <v>131</v>
      </c>
    </row>
    <row r="813" spans="1:1" x14ac:dyDescent="0.2">
      <c r="A813" t="s">
        <v>132</v>
      </c>
    </row>
    <row r="815" spans="1:1" x14ac:dyDescent="0.2">
      <c r="A815" t="s">
        <v>133</v>
      </c>
    </row>
    <row r="816" spans="1:1" x14ac:dyDescent="0.2">
      <c r="A816" t="s">
        <v>134</v>
      </c>
    </row>
    <row r="818" spans="1:1" x14ac:dyDescent="0.2">
      <c r="A818" t="s">
        <v>135</v>
      </c>
    </row>
    <row r="819" spans="1:1" x14ac:dyDescent="0.2">
      <c r="A819" t="s">
        <v>136</v>
      </c>
    </row>
    <row r="821" spans="1:1" x14ac:dyDescent="0.2">
      <c r="A821" t="s">
        <v>137</v>
      </c>
    </row>
    <row r="822" spans="1:1" x14ac:dyDescent="0.2">
      <c r="A822" t="s">
        <v>138</v>
      </c>
    </row>
    <row r="824" spans="1:1" x14ac:dyDescent="0.2">
      <c r="A824" t="s">
        <v>139</v>
      </c>
    </row>
    <row r="825" spans="1:1" x14ac:dyDescent="0.2">
      <c r="A825" t="s">
        <v>140</v>
      </c>
    </row>
    <row r="827" spans="1:1" x14ac:dyDescent="0.2">
      <c r="A827" t="s">
        <v>141</v>
      </c>
    </row>
    <row r="828" spans="1:1" x14ac:dyDescent="0.2">
      <c r="A828" t="s">
        <v>142</v>
      </c>
    </row>
    <row r="830" spans="1:1" x14ac:dyDescent="0.2">
      <c r="A830" t="s">
        <v>143</v>
      </c>
    </row>
    <row r="831" spans="1:1" x14ac:dyDescent="0.2">
      <c r="A831" t="s">
        <v>144</v>
      </c>
    </row>
    <row r="833" spans="1:1" x14ac:dyDescent="0.2">
      <c r="A833" t="s">
        <v>145</v>
      </c>
    </row>
    <row r="834" spans="1:1" x14ac:dyDescent="0.2">
      <c r="A834" t="s">
        <v>146</v>
      </c>
    </row>
    <row r="836" spans="1:1" x14ac:dyDescent="0.2">
      <c r="A836" t="s">
        <v>147</v>
      </c>
    </row>
    <row r="837" spans="1:1" x14ac:dyDescent="0.2">
      <c r="A837" t="s">
        <v>148</v>
      </c>
    </row>
    <row r="839" spans="1:1" x14ac:dyDescent="0.2">
      <c r="A839" t="s">
        <v>149</v>
      </c>
    </row>
    <row r="840" spans="1:1" x14ac:dyDescent="0.2">
      <c r="A840" t="s">
        <v>150</v>
      </c>
    </row>
    <row r="842" spans="1:1" x14ac:dyDescent="0.2">
      <c r="A842" t="s">
        <v>151</v>
      </c>
    </row>
    <row r="843" spans="1:1" x14ac:dyDescent="0.2">
      <c r="A843" t="s">
        <v>152</v>
      </c>
    </row>
    <row r="845" spans="1:1" x14ac:dyDescent="0.2">
      <c r="A845" t="s">
        <v>153</v>
      </c>
    </row>
    <row r="846" spans="1:1" x14ac:dyDescent="0.2">
      <c r="A846" t="s">
        <v>154</v>
      </c>
    </row>
    <row r="848" spans="1:1" x14ac:dyDescent="0.2">
      <c r="A848" t="s">
        <v>155</v>
      </c>
    </row>
    <row r="849" spans="1:1" x14ac:dyDescent="0.2">
      <c r="A849" t="s">
        <v>156</v>
      </c>
    </row>
    <row r="851" spans="1:1" x14ac:dyDescent="0.2">
      <c r="A851" t="s">
        <v>157</v>
      </c>
    </row>
    <row r="852" spans="1:1" x14ac:dyDescent="0.2">
      <c r="A852" t="s">
        <v>158</v>
      </c>
    </row>
    <row r="854" spans="1:1" x14ac:dyDescent="0.2">
      <c r="A854" t="s">
        <v>159</v>
      </c>
    </row>
    <row r="855" spans="1:1" x14ac:dyDescent="0.2">
      <c r="A855" t="s">
        <v>160</v>
      </c>
    </row>
    <row r="857" spans="1:1" x14ac:dyDescent="0.2">
      <c r="A857" t="s">
        <v>161</v>
      </c>
    </row>
    <row r="858" spans="1:1" x14ac:dyDescent="0.2">
      <c r="A858" t="s">
        <v>162</v>
      </c>
    </row>
    <row r="860" spans="1:1" x14ac:dyDescent="0.2">
      <c r="A860" t="s">
        <v>163</v>
      </c>
    </row>
    <row r="861" spans="1:1" x14ac:dyDescent="0.2">
      <c r="A861" t="s">
        <v>164</v>
      </c>
    </row>
    <row r="863" spans="1:1" x14ac:dyDescent="0.2">
      <c r="A863" t="s">
        <v>165</v>
      </c>
    </row>
    <row r="864" spans="1:1" x14ac:dyDescent="0.2">
      <c r="A864" t="s">
        <v>166</v>
      </c>
    </row>
    <row r="866" spans="1:1" x14ac:dyDescent="0.2">
      <c r="A866" t="s">
        <v>167</v>
      </c>
    </row>
    <row r="867" spans="1:1" x14ac:dyDescent="0.2">
      <c r="A867" t="s">
        <v>168</v>
      </c>
    </row>
    <row r="869" spans="1:1" x14ac:dyDescent="0.2">
      <c r="A869" t="s">
        <v>169</v>
      </c>
    </row>
    <row r="870" spans="1:1" x14ac:dyDescent="0.2">
      <c r="A870" t="s">
        <v>170</v>
      </c>
    </row>
    <row r="872" spans="1:1" x14ac:dyDescent="0.2">
      <c r="A872" t="s">
        <v>171</v>
      </c>
    </row>
    <row r="873" spans="1:1" x14ac:dyDescent="0.2">
      <c r="A873" t="s">
        <v>172</v>
      </c>
    </row>
    <row r="875" spans="1:1" x14ac:dyDescent="0.2">
      <c r="A875" t="s">
        <v>173</v>
      </c>
    </row>
    <row r="876" spans="1:1" x14ac:dyDescent="0.2">
      <c r="A876" t="s">
        <v>174</v>
      </c>
    </row>
    <row r="878" spans="1:1" x14ac:dyDescent="0.2">
      <c r="A878" t="s">
        <v>175</v>
      </c>
    </row>
    <row r="879" spans="1:1" x14ac:dyDescent="0.2">
      <c r="A879" t="s">
        <v>176</v>
      </c>
    </row>
    <row r="881" spans="1:1" x14ac:dyDescent="0.2">
      <c r="A881" t="s">
        <v>177</v>
      </c>
    </row>
    <row r="882" spans="1:1" x14ac:dyDescent="0.2">
      <c r="A882" t="s">
        <v>178</v>
      </c>
    </row>
    <row r="884" spans="1:1" x14ac:dyDescent="0.2">
      <c r="A884" t="s">
        <v>179</v>
      </c>
    </row>
    <row r="885" spans="1:1" x14ac:dyDescent="0.2">
      <c r="A885" t="s">
        <v>180</v>
      </c>
    </row>
    <row r="887" spans="1:1" x14ac:dyDescent="0.2">
      <c r="A887" t="s">
        <v>181</v>
      </c>
    </row>
    <row r="888" spans="1:1" x14ac:dyDescent="0.2">
      <c r="A888" t="s">
        <v>182</v>
      </c>
    </row>
    <row r="890" spans="1:1" x14ac:dyDescent="0.2">
      <c r="A890" t="s">
        <v>183</v>
      </c>
    </row>
    <row r="891" spans="1:1" x14ac:dyDescent="0.2">
      <c r="A891" t="s">
        <v>184</v>
      </c>
    </row>
    <row r="893" spans="1:1" x14ac:dyDescent="0.2">
      <c r="A893" t="s">
        <v>185</v>
      </c>
    </row>
    <row r="894" spans="1:1" x14ac:dyDescent="0.2">
      <c r="A894" t="s">
        <v>186</v>
      </c>
    </row>
    <row r="896" spans="1:1" x14ac:dyDescent="0.2">
      <c r="A896" t="s">
        <v>187</v>
      </c>
    </row>
    <row r="897" spans="1:1" x14ac:dyDescent="0.2">
      <c r="A897" t="s">
        <v>188</v>
      </c>
    </row>
    <row r="899" spans="1:1" x14ac:dyDescent="0.2">
      <c r="A899" t="s">
        <v>189</v>
      </c>
    </row>
    <row r="900" spans="1:1" x14ac:dyDescent="0.2">
      <c r="A900" t="s">
        <v>190</v>
      </c>
    </row>
    <row r="902" spans="1:1" x14ac:dyDescent="0.2">
      <c r="A902" t="s">
        <v>191</v>
      </c>
    </row>
    <row r="903" spans="1:1" x14ac:dyDescent="0.2">
      <c r="A903" t="s">
        <v>192</v>
      </c>
    </row>
    <row r="905" spans="1:1" x14ac:dyDescent="0.2">
      <c r="A905" t="s">
        <v>193</v>
      </c>
    </row>
    <row r="906" spans="1:1" x14ac:dyDescent="0.2">
      <c r="A906" t="s">
        <v>194</v>
      </c>
    </row>
    <row r="908" spans="1:1" x14ac:dyDescent="0.2">
      <c r="A908" t="s">
        <v>195</v>
      </c>
    </row>
    <row r="909" spans="1:1" x14ac:dyDescent="0.2">
      <c r="A909" t="s">
        <v>196</v>
      </c>
    </row>
    <row r="911" spans="1:1" x14ac:dyDescent="0.2">
      <c r="A911" t="s">
        <v>197</v>
      </c>
    </row>
    <row r="912" spans="1:1" x14ac:dyDescent="0.2">
      <c r="A912" t="s">
        <v>198</v>
      </c>
    </row>
    <row r="914" spans="1:1" x14ac:dyDescent="0.2">
      <c r="A914" t="s">
        <v>199</v>
      </c>
    </row>
    <row r="915" spans="1:1" x14ac:dyDescent="0.2">
      <c r="A915" t="s">
        <v>200</v>
      </c>
    </row>
    <row r="917" spans="1:1" x14ac:dyDescent="0.2">
      <c r="A917" t="s">
        <v>201</v>
      </c>
    </row>
    <row r="918" spans="1:1" x14ac:dyDescent="0.2">
      <c r="A918" t="s">
        <v>202</v>
      </c>
    </row>
    <row r="920" spans="1:1" x14ac:dyDescent="0.2">
      <c r="A920" t="s">
        <v>203</v>
      </c>
    </row>
    <row r="921" spans="1:1" x14ac:dyDescent="0.2">
      <c r="A921" t="s">
        <v>204</v>
      </c>
    </row>
    <row r="923" spans="1:1" x14ac:dyDescent="0.2">
      <c r="A923" t="s">
        <v>205</v>
      </c>
    </row>
    <row r="925" spans="1:1" x14ac:dyDescent="0.2">
      <c r="A925" t="s">
        <v>206</v>
      </c>
    </row>
    <row r="926" spans="1:1" x14ac:dyDescent="0.2">
      <c r="A926" t="s">
        <v>207</v>
      </c>
    </row>
    <row r="928" spans="1:1" x14ac:dyDescent="0.2">
      <c r="A928" t="s">
        <v>208</v>
      </c>
    </row>
    <row r="929" spans="1:1" x14ac:dyDescent="0.2">
      <c r="A929" t="s">
        <v>209</v>
      </c>
    </row>
    <row r="931" spans="1:1" x14ac:dyDescent="0.2">
      <c r="A931" t="s">
        <v>375</v>
      </c>
    </row>
    <row r="933" spans="1:1" x14ac:dyDescent="0.2">
      <c r="A933" t="s">
        <v>9</v>
      </c>
    </row>
    <row r="935" spans="1:1" x14ac:dyDescent="0.2">
      <c r="A935" t="s">
        <v>378</v>
      </c>
    </row>
    <row r="937" spans="1:1" x14ac:dyDescent="0.2">
      <c r="A937" t="s">
        <v>379</v>
      </c>
    </row>
    <row r="939" spans="1:1" x14ac:dyDescent="0.2">
      <c r="A939" t="s">
        <v>380</v>
      </c>
    </row>
    <row r="941" spans="1:1" x14ac:dyDescent="0.2">
      <c r="A941" t="s">
        <v>381</v>
      </c>
    </row>
    <row r="943" spans="1:1" x14ac:dyDescent="0.2">
      <c r="A943" t="s">
        <v>382</v>
      </c>
    </row>
    <row r="944" spans="1:1" x14ac:dyDescent="0.2">
      <c r="A944" t="s">
        <v>383</v>
      </c>
    </row>
    <row r="945" spans="1:10" x14ac:dyDescent="0.2">
      <c r="A945" t="s">
        <v>371</v>
      </c>
    </row>
    <row r="947" spans="1:10" x14ac:dyDescent="0.2">
      <c r="A947" t="s">
        <v>384</v>
      </c>
    </row>
    <row r="949" spans="1:10" x14ac:dyDescent="0.2">
      <c r="A949" t="s">
        <v>385</v>
      </c>
    </row>
    <row r="950" spans="1:10" x14ac:dyDescent="0.2">
      <c r="A950" t="s">
        <v>371</v>
      </c>
    </row>
    <row r="952" spans="1:10" x14ac:dyDescent="0.2">
      <c r="A952" t="s">
        <v>386</v>
      </c>
    </row>
    <row r="953" spans="1:10" x14ac:dyDescent="0.2">
      <c r="D953" s="6"/>
      <c r="E953" s="5"/>
      <c r="F953" s="5"/>
      <c r="G953" s="5"/>
      <c r="H953" s="4"/>
      <c r="I953" s="4"/>
    </row>
    <row r="954" spans="1:10" x14ac:dyDescent="0.2">
      <c r="A954" t="s">
        <v>387</v>
      </c>
      <c r="E954" s="5"/>
      <c r="F954" s="5"/>
      <c r="G954" s="5"/>
    </row>
    <row r="955" spans="1:10" x14ac:dyDescent="0.2">
      <c r="A955" t="s">
        <v>388</v>
      </c>
      <c r="D955" s="6"/>
      <c r="E955" s="5"/>
      <c r="F955" s="5"/>
      <c r="G955" s="5"/>
      <c r="H955" s="4"/>
      <c r="I955" s="4"/>
    </row>
    <row r="956" spans="1:10" x14ac:dyDescent="0.2">
      <c r="A956" t="s">
        <v>389</v>
      </c>
      <c r="E956" s="5"/>
      <c r="F956" s="5"/>
      <c r="G956" s="5"/>
    </row>
    <row r="957" spans="1:10" x14ac:dyDescent="0.2">
      <c r="B957" t="s">
        <v>390</v>
      </c>
      <c r="C957" t="s">
        <v>0</v>
      </c>
      <c r="D957" s="6" t="s">
        <v>8</v>
      </c>
      <c r="E957" s="5" t="s">
        <v>391</v>
      </c>
      <c r="F957" s="5" t="s">
        <v>392</v>
      </c>
      <c r="G957" s="5" t="s">
        <v>393</v>
      </c>
      <c r="H957" s="4" t="s">
        <v>394</v>
      </c>
      <c r="I957" s="4" t="s">
        <v>395</v>
      </c>
      <c r="J957" t="s">
        <v>396</v>
      </c>
    </row>
    <row r="958" spans="1:10" x14ac:dyDescent="0.2">
      <c r="B958">
        <v>101</v>
      </c>
      <c r="C958" t="s">
        <v>772</v>
      </c>
      <c r="D958" t="s">
        <v>1637</v>
      </c>
      <c r="E958" s="5">
        <v>1E-3</v>
      </c>
      <c r="F958" s="5">
        <v>-2.7E-2</v>
      </c>
      <c r="G958" s="5">
        <v>0.03</v>
      </c>
      <c r="H958" t="s">
        <v>1934</v>
      </c>
      <c r="I958" t="s">
        <v>1470</v>
      </c>
      <c r="J958" t="s">
        <v>774</v>
      </c>
    </row>
    <row r="959" spans="1:10" x14ac:dyDescent="0.2">
      <c r="C959" t="s">
        <v>773</v>
      </c>
      <c r="D959" s="6"/>
      <c r="E959" s="5"/>
      <c r="F959" s="5"/>
      <c r="G959" s="5"/>
      <c r="H959" s="4"/>
      <c r="I959" s="4"/>
    </row>
    <row r="960" spans="1:10" x14ac:dyDescent="0.2">
      <c r="B960">
        <v>102</v>
      </c>
      <c r="C960" t="s">
        <v>1030</v>
      </c>
      <c r="D960" t="s">
        <v>1689</v>
      </c>
      <c r="E960" s="5">
        <v>-2E-3</v>
      </c>
      <c r="F960" s="5">
        <v>-4.0000000000000001E-3</v>
      </c>
      <c r="G960" s="5">
        <v>5.0000000000000001E-3</v>
      </c>
      <c r="H960" t="s">
        <v>1690</v>
      </c>
      <c r="I960" t="s">
        <v>1471</v>
      </c>
      <c r="J960" t="s">
        <v>1032</v>
      </c>
    </row>
    <row r="961" spans="2:10" x14ac:dyDescent="0.2">
      <c r="C961" t="s">
        <v>1031</v>
      </c>
      <c r="D961" s="6"/>
      <c r="E961" s="5"/>
      <c r="F961" s="5"/>
      <c r="G961" s="5"/>
      <c r="H961" s="4"/>
      <c r="I961" s="4"/>
    </row>
    <row r="962" spans="2:10" x14ac:dyDescent="0.2">
      <c r="B962">
        <v>103</v>
      </c>
      <c r="C962" t="s">
        <v>658</v>
      </c>
      <c r="D962" t="s">
        <v>1935</v>
      </c>
      <c r="E962" s="5">
        <v>1E-3</v>
      </c>
      <c r="F962" s="5">
        <v>-1.2E-2</v>
      </c>
      <c r="G962" s="5">
        <v>-2.5999999999999999E-2</v>
      </c>
      <c r="H962" t="s">
        <v>1936</v>
      </c>
      <c r="I962" t="s">
        <v>1937</v>
      </c>
      <c r="J962" t="s">
        <v>660</v>
      </c>
    </row>
    <row r="963" spans="2:10" x14ac:dyDescent="0.2">
      <c r="C963" t="s">
        <v>659</v>
      </c>
      <c r="D963" s="6"/>
      <c r="E963" s="5"/>
      <c r="F963" s="5"/>
      <c r="G963" s="5"/>
      <c r="H963" s="4"/>
      <c r="I963" s="4"/>
    </row>
    <row r="964" spans="2:10" x14ac:dyDescent="0.2">
      <c r="B964">
        <v>104</v>
      </c>
      <c r="C964" t="s">
        <v>655</v>
      </c>
      <c r="D964" t="s">
        <v>1938</v>
      </c>
      <c r="E964" s="5">
        <v>1.4999999999999999E-2</v>
      </c>
      <c r="F964" s="5">
        <v>-5.0000000000000001E-3</v>
      </c>
      <c r="G964" s="5">
        <v>-3.5999999999999997E-2</v>
      </c>
      <c r="H964" t="s">
        <v>1939</v>
      </c>
      <c r="I964" t="s">
        <v>1472</v>
      </c>
      <c r="J964" t="s">
        <v>657</v>
      </c>
    </row>
    <row r="965" spans="2:10" x14ac:dyDescent="0.2">
      <c r="C965" t="s">
        <v>656</v>
      </c>
      <c r="D965" s="6"/>
      <c r="E965" s="5"/>
      <c r="F965" s="5"/>
      <c r="G965" s="5"/>
      <c r="H965" s="6"/>
      <c r="I965" s="4"/>
    </row>
    <row r="966" spans="2:10" x14ac:dyDescent="0.2">
      <c r="B966">
        <v>105</v>
      </c>
      <c r="C966" t="s">
        <v>664</v>
      </c>
      <c r="D966" t="s">
        <v>1940</v>
      </c>
      <c r="E966" s="5">
        <v>1.2999999999999999E-2</v>
      </c>
      <c r="F966" s="5">
        <v>2.3E-2</v>
      </c>
      <c r="G966" s="5">
        <v>5.8999999999999997E-2</v>
      </c>
      <c r="H966" t="s">
        <v>1941</v>
      </c>
      <c r="I966" t="s">
        <v>1942</v>
      </c>
      <c r="J966" t="s">
        <v>666</v>
      </c>
    </row>
    <row r="967" spans="2:10" x14ac:dyDescent="0.2">
      <c r="C967" t="s">
        <v>665</v>
      </c>
      <c r="D967" s="6"/>
      <c r="E967" s="5"/>
      <c r="F967" s="5"/>
      <c r="G967" s="5"/>
      <c r="H967" s="4"/>
      <c r="I967" s="4"/>
    </row>
    <row r="968" spans="2:10" x14ac:dyDescent="0.2">
      <c r="B968">
        <v>106</v>
      </c>
      <c r="C968" t="s">
        <v>673</v>
      </c>
      <c r="D968" t="s">
        <v>1943</v>
      </c>
      <c r="E968" s="5">
        <v>6.0000000000000001E-3</v>
      </c>
      <c r="F968" s="5">
        <v>-1.4E-2</v>
      </c>
      <c r="G968" s="5">
        <v>3.2000000000000001E-2</v>
      </c>
      <c r="H968" t="s">
        <v>1944</v>
      </c>
      <c r="I968" t="s">
        <v>1945</v>
      </c>
      <c r="J968" t="s">
        <v>675</v>
      </c>
    </row>
    <row r="969" spans="2:10" x14ac:dyDescent="0.2">
      <c r="C969" t="s">
        <v>674</v>
      </c>
      <c r="D969" s="6"/>
      <c r="E969" s="5"/>
      <c r="F969" s="5"/>
      <c r="G969" s="5"/>
      <c r="H969" s="4"/>
      <c r="I969" s="4"/>
    </row>
    <row r="970" spans="2:10" x14ac:dyDescent="0.2">
      <c r="B970">
        <v>107</v>
      </c>
      <c r="C970" t="s">
        <v>962</v>
      </c>
      <c r="D970" t="s">
        <v>1946</v>
      </c>
      <c r="E970" s="5">
        <v>-4.0000000000000001E-3</v>
      </c>
      <c r="F970" s="5">
        <v>-0.127</v>
      </c>
      <c r="G970" s="5">
        <v>0.749</v>
      </c>
      <c r="H970" t="s">
        <v>1947</v>
      </c>
      <c r="I970" t="s">
        <v>1948</v>
      </c>
      <c r="J970" t="s">
        <v>964</v>
      </c>
    </row>
    <row r="971" spans="2:10" x14ac:dyDescent="0.2">
      <c r="C971" t="s">
        <v>963</v>
      </c>
      <c r="D971" s="6"/>
      <c r="E971" s="5"/>
      <c r="F971" s="5"/>
      <c r="G971" s="5"/>
      <c r="H971" s="4"/>
      <c r="I971" s="4"/>
    </row>
    <row r="972" spans="2:10" x14ac:dyDescent="0.2">
      <c r="B972">
        <v>108</v>
      </c>
      <c r="C972" t="s">
        <v>826</v>
      </c>
      <c r="D972" t="s">
        <v>1949</v>
      </c>
      <c r="E972" s="5">
        <v>5.0000000000000001E-3</v>
      </c>
      <c r="F972" s="5">
        <v>-5.7000000000000002E-2</v>
      </c>
      <c r="G972" s="5">
        <v>0.28699999999999998</v>
      </c>
      <c r="H972" t="s">
        <v>1950</v>
      </c>
      <c r="I972" t="s">
        <v>1473</v>
      </c>
      <c r="J972" t="s">
        <v>828</v>
      </c>
    </row>
    <row r="973" spans="2:10" x14ac:dyDescent="0.2">
      <c r="C973" t="s">
        <v>827</v>
      </c>
      <c r="D973" s="6"/>
      <c r="E973" s="5"/>
      <c r="F973" s="5"/>
      <c r="G973" s="5"/>
      <c r="H973" s="4"/>
      <c r="I973" s="4"/>
    </row>
    <row r="974" spans="2:10" x14ac:dyDescent="0.2">
      <c r="B974">
        <v>109</v>
      </c>
      <c r="C974" t="s">
        <v>688</v>
      </c>
      <c r="D974" t="s">
        <v>1638</v>
      </c>
      <c r="E974" s="5">
        <v>-5.0000000000000001E-3</v>
      </c>
      <c r="F974" s="5">
        <v>-2.1999999999999999E-2</v>
      </c>
      <c r="G974" s="5">
        <v>-2.4E-2</v>
      </c>
      <c r="H974" t="s">
        <v>1951</v>
      </c>
      <c r="I974" t="s">
        <v>1952</v>
      </c>
      <c r="J974" t="s">
        <v>690</v>
      </c>
    </row>
    <row r="975" spans="2:10" x14ac:dyDescent="0.2">
      <c r="C975" t="s">
        <v>689</v>
      </c>
      <c r="D975" s="6"/>
      <c r="E975" s="5"/>
      <c r="F975" s="5"/>
      <c r="G975" s="5"/>
      <c r="H975" s="4"/>
      <c r="I975" s="4"/>
    </row>
    <row r="976" spans="2:10" x14ac:dyDescent="0.2">
      <c r="B976">
        <v>110</v>
      </c>
      <c r="C976" t="s">
        <v>670</v>
      </c>
      <c r="D976" t="s">
        <v>1953</v>
      </c>
      <c r="E976" s="5">
        <v>-1.2E-2</v>
      </c>
      <c r="F976" s="5">
        <v>0.16300000000000001</v>
      </c>
      <c r="G976" s="5">
        <v>8.0000000000000002E-3</v>
      </c>
      <c r="H976" t="s">
        <v>1954</v>
      </c>
      <c r="I976" t="s">
        <v>1955</v>
      </c>
      <c r="J976" t="s">
        <v>672</v>
      </c>
    </row>
    <row r="977" spans="2:10" x14ac:dyDescent="0.2">
      <c r="C977" t="s">
        <v>671</v>
      </c>
      <c r="D977" s="6"/>
      <c r="E977" s="5"/>
      <c r="F977" s="5"/>
      <c r="G977" s="5"/>
      <c r="H977" s="4"/>
      <c r="I977" s="4"/>
    </row>
    <row r="978" spans="2:10" x14ac:dyDescent="0.2">
      <c r="B978">
        <v>111</v>
      </c>
      <c r="C978" t="s">
        <v>793</v>
      </c>
      <c r="D978" t="s">
        <v>1956</v>
      </c>
      <c r="E978" s="5">
        <v>0.01</v>
      </c>
      <c r="F978" s="5">
        <v>5.0000000000000001E-3</v>
      </c>
      <c r="G978" s="5">
        <v>0.30399999999999999</v>
      </c>
      <c r="H978" t="s">
        <v>1957</v>
      </c>
      <c r="I978" t="s">
        <v>1474</v>
      </c>
      <c r="J978" t="s">
        <v>795</v>
      </c>
    </row>
    <row r="979" spans="2:10" x14ac:dyDescent="0.2">
      <c r="C979" t="s">
        <v>794</v>
      </c>
      <c r="D979" s="6"/>
      <c r="E979" s="5"/>
      <c r="F979" s="5"/>
      <c r="G979" s="5"/>
      <c r="H979" s="4"/>
      <c r="I979" s="4"/>
    </row>
    <row r="980" spans="2:10" x14ac:dyDescent="0.2">
      <c r="B980">
        <v>113</v>
      </c>
      <c r="C980" t="s">
        <v>751</v>
      </c>
      <c r="D980" t="s">
        <v>1958</v>
      </c>
      <c r="E980" s="5">
        <v>-2E-3</v>
      </c>
      <c r="F980" s="5">
        <v>-7.0000000000000001E-3</v>
      </c>
      <c r="G980" s="5">
        <v>5.8000000000000003E-2</v>
      </c>
      <c r="H980" t="s">
        <v>1959</v>
      </c>
      <c r="I980" t="s">
        <v>1475</v>
      </c>
      <c r="J980" t="s">
        <v>753</v>
      </c>
    </row>
    <row r="981" spans="2:10" x14ac:dyDescent="0.2">
      <c r="C981" t="s">
        <v>752</v>
      </c>
      <c r="D981" s="6"/>
      <c r="E981" s="5"/>
      <c r="F981" s="5"/>
      <c r="G981" s="5"/>
      <c r="H981" s="4"/>
      <c r="I981" s="4"/>
    </row>
    <row r="982" spans="2:10" x14ac:dyDescent="0.2">
      <c r="B982">
        <v>112</v>
      </c>
      <c r="C982" t="s">
        <v>694</v>
      </c>
      <c r="D982" t="s">
        <v>1601</v>
      </c>
      <c r="E982" s="5">
        <v>-6.0000000000000001E-3</v>
      </c>
      <c r="F982" s="5">
        <v>-3.5999999999999997E-2</v>
      </c>
      <c r="G982" s="5">
        <v>2.5000000000000001E-2</v>
      </c>
      <c r="H982" t="s">
        <v>1960</v>
      </c>
      <c r="I982" t="s">
        <v>1961</v>
      </c>
      <c r="J982" t="s">
        <v>696</v>
      </c>
    </row>
    <row r="983" spans="2:10" x14ac:dyDescent="0.2">
      <c r="C983" t="s">
        <v>695</v>
      </c>
      <c r="D983" s="6"/>
      <c r="E983" s="5"/>
      <c r="F983" s="5"/>
      <c r="G983" s="5"/>
      <c r="H983" s="4"/>
      <c r="I983" s="4"/>
    </row>
    <row r="984" spans="2:10" x14ac:dyDescent="0.2">
      <c r="B984">
        <v>115</v>
      </c>
      <c r="C984" t="s">
        <v>814</v>
      </c>
      <c r="D984" t="s">
        <v>1639</v>
      </c>
      <c r="E984" s="5">
        <v>1E-3</v>
      </c>
      <c r="F984" s="5">
        <v>0</v>
      </c>
      <c r="G984" s="5">
        <v>4.0000000000000001E-3</v>
      </c>
      <c r="H984" t="s">
        <v>1640</v>
      </c>
      <c r="I984" t="s">
        <v>1476</v>
      </c>
      <c r="J984" t="s">
        <v>816</v>
      </c>
    </row>
    <row r="985" spans="2:10" x14ac:dyDescent="0.2">
      <c r="C985" t="s">
        <v>815</v>
      </c>
      <c r="D985" s="6"/>
      <c r="E985" s="5"/>
      <c r="F985" s="5"/>
      <c r="G985" s="5"/>
      <c r="H985" s="4"/>
      <c r="I985" s="4"/>
    </row>
    <row r="986" spans="2:10" x14ac:dyDescent="0.2">
      <c r="B986">
        <v>114</v>
      </c>
      <c r="C986" t="s">
        <v>754</v>
      </c>
      <c r="D986" t="s">
        <v>1962</v>
      </c>
      <c r="E986" s="5">
        <v>-3.0000000000000001E-3</v>
      </c>
      <c r="F986" s="5">
        <v>-1.6E-2</v>
      </c>
      <c r="G986" s="5">
        <v>8.9999999999999993E-3</v>
      </c>
      <c r="H986" t="s">
        <v>1963</v>
      </c>
      <c r="I986" t="s">
        <v>1964</v>
      </c>
      <c r="J986" t="s">
        <v>756</v>
      </c>
    </row>
    <row r="987" spans="2:10" x14ac:dyDescent="0.2">
      <c r="C987" t="s">
        <v>755</v>
      </c>
      <c r="D987" s="6"/>
      <c r="E987" s="5"/>
      <c r="F987" s="5"/>
      <c r="G987" s="5"/>
      <c r="H987" s="4"/>
      <c r="I987" s="4"/>
    </row>
    <row r="988" spans="2:10" x14ac:dyDescent="0.2">
      <c r="B988">
        <v>116</v>
      </c>
      <c r="C988" t="s">
        <v>766</v>
      </c>
      <c r="D988" t="s">
        <v>1614</v>
      </c>
      <c r="E988" s="5">
        <v>1E-3</v>
      </c>
      <c r="F988" s="5">
        <v>-2E-3</v>
      </c>
      <c r="G988" s="5">
        <v>1.6E-2</v>
      </c>
      <c r="H988" t="s">
        <v>1615</v>
      </c>
      <c r="I988" t="s">
        <v>1477</v>
      </c>
      <c r="J988" t="s">
        <v>768</v>
      </c>
    </row>
    <row r="989" spans="2:10" x14ac:dyDescent="0.2">
      <c r="C989" t="s">
        <v>767</v>
      </c>
      <c r="D989" s="6"/>
      <c r="E989" s="5"/>
      <c r="F989" s="5"/>
      <c r="G989" s="5"/>
      <c r="H989" s="4"/>
      <c r="I989" s="4"/>
    </row>
    <row r="990" spans="2:10" x14ac:dyDescent="0.2">
      <c r="B990">
        <v>117</v>
      </c>
      <c r="C990" t="s">
        <v>679</v>
      </c>
      <c r="D990" t="s">
        <v>1691</v>
      </c>
      <c r="E990" s="5">
        <v>3.0000000000000001E-3</v>
      </c>
      <c r="F990" s="5">
        <v>-1E-3</v>
      </c>
      <c r="G990" s="5">
        <v>-5.5E-2</v>
      </c>
      <c r="H990" t="s">
        <v>1965</v>
      </c>
      <c r="I990" t="s">
        <v>1478</v>
      </c>
      <c r="J990" t="s">
        <v>681</v>
      </c>
    </row>
    <row r="991" spans="2:10" x14ac:dyDescent="0.2">
      <c r="C991" t="s">
        <v>680</v>
      </c>
      <c r="D991" s="6"/>
      <c r="E991" s="5"/>
      <c r="F991" s="5"/>
      <c r="G991" s="5"/>
      <c r="H991" s="4"/>
      <c r="I991" s="4"/>
    </row>
    <row r="992" spans="2:10" x14ac:dyDescent="0.2">
      <c r="B992">
        <v>118</v>
      </c>
      <c r="C992" t="s">
        <v>676</v>
      </c>
      <c r="D992" t="s">
        <v>1966</v>
      </c>
      <c r="E992" s="5">
        <v>-2E-3</v>
      </c>
      <c r="F992" s="5">
        <v>-5.6000000000000001E-2</v>
      </c>
      <c r="G992" s="5">
        <v>3.2000000000000001E-2</v>
      </c>
      <c r="H992" t="s">
        <v>1967</v>
      </c>
      <c r="I992" t="s">
        <v>1479</v>
      </c>
      <c r="J992" t="s">
        <v>678</v>
      </c>
    </row>
    <row r="993" spans="2:10" x14ac:dyDescent="0.2">
      <c r="C993" t="s">
        <v>677</v>
      </c>
      <c r="D993" s="6"/>
      <c r="E993" s="5"/>
      <c r="F993" s="5"/>
      <c r="G993" s="5"/>
      <c r="H993" s="4"/>
      <c r="I993" s="4"/>
    </row>
    <row r="994" spans="2:10" x14ac:dyDescent="0.2">
      <c r="B994">
        <v>119</v>
      </c>
      <c r="C994" t="s">
        <v>685</v>
      </c>
      <c r="D994" t="s">
        <v>1400</v>
      </c>
      <c r="E994" s="5">
        <v>3.0000000000000001E-3</v>
      </c>
      <c r="F994" s="5">
        <v>-2.9000000000000001E-2</v>
      </c>
      <c r="G994" s="5">
        <v>-0.127</v>
      </c>
      <c r="H994" t="s">
        <v>1968</v>
      </c>
      <c r="I994" t="s">
        <v>1480</v>
      </c>
      <c r="J994" t="s">
        <v>687</v>
      </c>
    </row>
    <row r="995" spans="2:10" x14ac:dyDescent="0.2">
      <c r="C995" t="s">
        <v>686</v>
      </c>
      <c r="D995" s="6"/>
      <c r="E995" s="5"/>
      <c r="F995" s="5"/>
      <c r="G995" s="5"/>
      <c r="H995" s="4"/>
      <c r="I995" s="4"/>
    </row>
    <row r="996" spans="2:10" x14ac:dyDescent="0.2">
      <c r="B996">
        <v>120</v>
      </c>
      <c r="C996" t="s">
        <v>817</v>
      </c>
      <c r="D996" t="s">
        <v>1969</v>
      </c>
      <c r="E996" s="5">
        <v>-3.0000000000000001E-3</v>
      </c>
      <c r="F996" s="5">
        <v>-0.02</v>
      </c>
      <c r="G996" s="5">
        <v>2.4E-2</v>
      </c>
      <c r="H996" t="s">
        <v>1970</v>
      </c>
      <c r="I996" t="s">
        <v>1481</v>
      </c>
      <c r="J996" t="s">
        <v>819</v>
      </c>
    </row>
    <row r="997" spans="2:10" x14ac:dyDescent="0.2">
      <c r="C997" t="s">
        <v>818</v>
      </c>
      <c r="D997" s="6"/>
      <c r="E997" s="5"/>
      <c r="F997" s="5"/>
      <c r="G997" s="5"/>
      <c r="H997" s="4"/>
      <c r="I997" s="4"/>
    </row>
    <row r="998" spans="2:10" x14ac:dyDescent="0.2">
      <c r="B998">
        <v>121</v>
      </c>
      <c r="C998" t="s">
        <v>757</v>
      </c>
      <c r="D998" t="s">
        <v>1971</v>
      </c>
      <c r="E998" s="5">
        <v>-2E-3</v>
      </c>
      <c r="F998" s="5">
        <v>-1.9E-2</v>
      </c>
      <c r="G998" s="5">
        <v>-1.2999999999999999E-2</v>
      </c>
      <c r="H998" t="s">
        <v>1972</v>
      </c>
      <c r="I998" t="s">
        <v>1482</v>
      </c>
      <c r="J998" t="s">
        <v>759</v>
      </c>
    </row>
    <row r="999" spans="2:10" x14ac:dyDescent="0.2">
      <c r="C999" t="s">
        <v>758</v>
      </c>
      <c r="D999" s="4"/>
      <c r="E999" s="5"/>
      <c r="F999" s="5"/>
      <c r="G999" s="5"/>
      <c r="H999" s="4"/>
      <c r="I999" s="4"/>
    </row>
    <row r="1000" spans="2:10" x14ac:dyDescent="0.2">
      <c r="B1000">
        <v>122</v>
      </c>
      <c r="C1000" t="s">
        <v>682</v>
      </c>
      <c r="D1000" t="s">
        <v>1973</v>
      </c>
      <c r="E1000" s="5">
        <v>-7.0000000000000001E-3</v>
      </c>
      <c r="F1000" s="5">
        <v>-8.0000000000000002E-3</v>
      </c>
      <c r="G1000" s="5">
        <v>-5.1999999999999998E-2</v>
      </c>
      <c r="H1000" t="s">
        <v>1974</v>
      </c>
      <c r="I1000" t="s">
        <v>1975</v>
      </c>
      <c r="J1000" t="s">
        <v>684</v>
      </c>
    </row>
    <row r="1001" spans="2:10" x14ac:dyDescent="0.2">
      <c r="C1001" t="s">
        <v>683</v>
      </c>
      <c r="D1001" s="6"/>
      <c r="E1001" s="5"/>
      <c r="F1001" s="5"/>
      <c r="G1001" s="5"/>
      <c r="H1001" s="4"/>
      <c r="I1001" s="4"/>
    </row>
    <row r="1002" spans="2:10" x14ac:dyDescent="0.2">
      <c r="B1002">
        <v>123</v>
      </c>
      <c r="C1002" t="s">
        <v>796</v>
      </c>
      <c r="D1002" t="s">
        <v>1692</v>
      </c>
      <c r="E1002" s="5">
        <v>0</v>
      </c>
      <c r="F1002" s="5">
        <v>-0.02</v>
      </c>
      <c r="G1002" s="5">
        <v>-1.2999999999999999E-2</v>
      </c>
      <c r="H1002" t="s">
        <v>1976</v>
      </c>
      <c r="I1002" t="s">
        <v>1483</v>
      </c>
      <c r="J1002" t="s">
        <v>798</v>
      </c>
    </row>
    <row r="1003" spans="2:10" x14ac:dyDescent="0.2">
      <c r="C1003" t="s">
        <v>797</v>
      </c>
      <c r="D1003" s="6"/>
      <c r="E1003" s="5"/>
      <c r="F1003" s="5"/>
      <c r="G1003" s="5"/>
      <c r="H1003" s="4"/>
      <c r="I1003" s="4"/>
    </row>
    <row r="1004" spans="2:10" x14ac:dyDescent="0.2">
      <c r="B1004">
        <v>124</v>
      </c>
      <c r="C1004" t="s">
        <v>748</v>
      </c>
      <c r="D1004" t="s">
        <v>1977</v>
      </c>
      <c r="E1004" s="5">
        <v>-3.0000000000000001E-3</v>
      </c>
      <c r="F1004" s="5">
        <v>-8.9999999999999993E-3</v>
      </c>
      <c r="G1004" s="5">
        <v>-6.7000000000000004E-2</v>
      </c>
      <c r="H1004" t="s">
        <v>1978</v>
      </c>
      <c r="I1004" t="s">
        <v>1979</v>
      </c>
      <c r="J1004" t="s">
        <v>750</v>
      </c>
    </row>
    <row r="1005" spans="2:10" x14ac:dyDescent="0.2">
      <c r="C1005" t="s">
        <v>749</v>
      </c>
      <c r="D1005" s="6"/>
      <c r="E1005" s="5"/>
      <c r="F1005" s="5"/>
      <c r="G1005" s="5"/>
      <c r="H1005" s="4"/>
      <c r="I1005" s="4"/>
    </row>
    <row r="1006" spans="2:10" x14ac:dyDescent="0.2">
      <c r="B1006">
        <v>125</v>
      </c>
      <c r="C1006" t="s">
        <v>805</v>
      </c>
      <c r="D1006" t="s">
        <v>1980</v>
      </c>
      <c r="E1006" s="5">
        <v>-4.9000000000000002E-2</v>
      </c>
      <c r="F1006" s="5">
        <v>-0.107</v>
      </c>
      <c r="G1006" s="5">
        <v>-4.9000000000000002E-2</v>
      </c>
      <c r="H1006" t="s">
        <v>1981</v>
      </c>
      <c r="I1006" t="s">
        <v>1484</v>
      </c>
      <c r="J1006" t="s">
        <v>807</v>
      </c>
    </row>
    <row r="1007" spans="2:10" x14ac:dyDescent="0.2">
      <c r="C1007" t="s">
        <v>806</v>
      </c>
      <c r="D1007" s="6"/>
      <c r="E1007" s="5"/>
      <c r="F1007" s="5"/>
      <c r="G1007" s="5"/>
      <c r="H1007" s="4"/>
      <c r="I1007" s="4"/>
    </row>
    <row r="1008" spans="2:10" x14ac:dyDescent="0.2">
      <c r="B1008">
        <v>127</v>
      </c>
      <c r="C1008" t="s">
        <v>832</v>
      </c>
      <c r="D1008" t="s">
        <v>1641</v>
      </c>
      <c r="E1008" s="5">
        <v>-2.5000000000000001E-2</v>
      </c>
      <c r="F1008" s="5">
        <v>3.3000000000000002E-2</v>
      </c>
      <c r="G1008" s="5">
        <v>-0.126</v>
      </c>
      <c r="H1008" t="s">
        <v>1982</v>
      </c>
      <c r="I1008" t="s">
        <v>1485</v>
      </c>
      <c r="J1008" t="s">
        <v>834</v>
      </c>
    </row>
    <row r="1009" spans="2:10" x14ac:dyDescent="0.2">
      <c r="C1009" t="s">
        <v>833</v>
      </c>
      <c r="D1009" s="6"/>
      <c r="E1009" s="5"/>
      <c r="F1009" s="5"/>
      <c r="G1009" s="5"/>
      <c r="H1009" s="4"/>
      <c r="I1009" s="4"/>
    </row>
    <row r="1010" spans="2:10" x14ac:dyDescent="0.2">
      <c r="B1010">
        <v>128</v>
      </c>
      <c r="C1010" t="s">
        <v>799</v>
      </c>
      <c r="D1010" t="s">
        <v>1983</v>
      </c>
      <c r="E1010" s="5">
        <v>-2E-3</v>
      </c>
      <c r="F1010" s="5">
        <v>-0.02</v>
      </c>
      <c r="G1010" s="5">
        <v>0.161</v>
      </c>
      <c r="H1010" t="s">
        <v>1984</v>
      </c>
      <c r="I1010" t="s">
        <v>996</v>
      </c>
      <c r="J1010" t="s">
        <v>801</v>
      </c>
    </row>
    <row r="1011" spans="2:10" x14ac:dyDescent="0.2">
      <c r="C1011" t="s">
        <v>800</v>
      </c>
      <c r="D1011" s="6"/>
      <c r="E1011" s="5"/>
      <c r="F1011" s="5"/>
      <c r="G1011" s="5"/>
      <c r="H1011" s="4"/>
      <c r="I1011" s="4"/>
    </row>
    <row r="1012" spans="2:10" x14ac:dyDescent="0.2">
      <c r="B1012">
        <v>129</v>
      </c>
      <c r="C1012" t="s">
        <v>769</v>
      </c>
      <c r="D1012" t="s">
        <v>1985</v>
      </c>
      <c r="E1012" s="5">
        <v>-4.0000000000000001E-3</v>
      </c>
      <c r="F1012" s="5">
        <v>-1.9E-2</v>
      </c>
      <c r="G1012" s="5">
        <v>-4.2000000000000003E-2</v>
      </c>
      <c r="H1012" t="s">
        <v>1986</v>
      </c>
      <c r="I1012" t="s">
        <v>1987</v>
      </c>
      <c r="J1012" t="s">
        <v>771</v>
      </c>
    </row>
    <row r="1013" spans="2:10" x14ac:dyDescent="0.2">
      <c r="C1013" t="s">
        <v>770</v>
      </c>
      <c r="D1013" s="6"/>
      <c r="E1013" s="5"/>
      <c r="F1013" s="5"/>
      <c r="G1013" s="5"/>
      <c r="H1013" s="4"/>
      <c r="I1013" s="4"/>
    </row>
    <row r="1014" spans="2:10" x14ac:dyDescent="0.2">
      <c r="B1014">
        <v>126</v>
      </c>
      <c r="C1014" t="s">
        <v>987</v>
      </c>
      <c r="D1014" t="s">
        <v>1988</v>
      </c>
      <c r="E1014" s="5">
        <v>-1.0999999999999999E-2</v>
      </c>
      <c r="F1014" s="5">
        <v>2.4E-2</v>
      </c>
      <c r="G1014" s="5">
        <v>-0.17299999999999999</v>
      </c>
      <c r="H1014" t="s">
        <v>1989</v>
      </c>
      <c r="I1014" t="s">
        <v>1990</v>
      </c>
      <c r="J1014" t="s">
        <v>989</v>
      </c>
    </row>
    <row r="1015" spans="2:10" x14ac:dyDescent="0.2">
      <c r="C1015" t="s">
        <v>988</v>
      </c>
      <c r="D1015" s="6"/>
      <c r="E1015" s="5"/>
      <c r="F1015" s="5"/>
      <c r="G1015" s="5"/>
      <c r="H1015" s="4"/>
      <c r="I1015" s="4"/>
    </row>
    <row r="1016" spans="2:10" x14ac:dyDescent="0.2">
      <c r="B1016">
        <v>130</v>
      </c>
      <c r="C1016" t="s">
        <v>868</v>
      </c>
      <c r="D1016" t="s">
        <v>965</v>
      </c>
      <c r="E1016" s="5">
        <v>7.0000000000000001E-3</v>
      </c>
      <c r="F1016" s="5">
        <v>-6.0000000000000001E-3</v>
      </c>
      <c r="G1016" s="5">
        <v>5.0000000000000001E-3</v>
      </c>
      <c r="H1016" t="s">
        <v>1991</v>
      </c>
      <c r="I1016" t="s">
        <v>1486</v>
      </c>
      <c r="J1016" t="s">
        <v>870</v>
      </c>
    </row>
    <row r="1017" spans="2:10" x14ac:dyDescent="0.2">
      <c r="C1017" t="s">
        <v>869</v>
      </c>
      <c r="D1017" s="6"/>
      <c r="E1017" s="5"/>
      <c r="F1017" s="5"/>
      <c r="G1017" s="5"/>
      <c r="H1017" s="4"/>
      <c r="I1017" s="4"/>
    </row>
    <row r="1018" spans="2:10" x14ac:dyDescent="0.2">
      <c r="B1018">
        <v>131</v>
      </c>
      <c r="C1018" t="s">
        <v>811</v>
      </c>
      <c r="D1018" t="s">
        <v>1992</v>
      </c>
      <c r="E1018" s="5">
        <v>-0.01</v>
      </c>
      <c r="F1018" s="5">
        <v>-6.0000000000000001E-3</v>
      </c>
      <c r="G1018" s="5">
        <v>-1.0999999999999999E-2</v>
      </c>
      <c r="H1018" t="s">
        <v>1993</v>
      </c>
      <c r="I1018" t="s">
        <v>1994</v>
      </c>
      <c r="J1018" t="s">
        <v>813</v>
      </c>
    </row>
    <row r="1019" spans="2:10" x14ac:dyDescent="0.2">
      <c r="C1019" t="s">
        <v>812</v>
      </c>
      <c r="D1019" s="6"/>
      <c r="E1019" s="5"/>
      <c r="F1019" s="5"/>
      <c r="G1019" s="5"/>
      <c r="H1019" s="4"/>
      <c r="I1019" s="4"/>
    </row>
    <row r="1020" spans="2:10" x14ac:dyDescent="0.2">
      <c r="B1020">
        <v>132</v>
      </c>
      <c r="C1020" t="s">
        <v>781</v>
      </c>
      <c r="D1020" t="s">
        <v>1995</v>
      </c>
      <c r="E1020" s="5">
        <v>1E-3</v>
      </c>
      <c r="F1020" s="5">
        <v>-2.7E-2</v>
      </c>
      <c r="G1020" s="5">
        <v>-0.04</v>
      </c>
      <c r="H1020" t="s">
        <v>1996</v>
      </c>
      <c r="I1020" t="s">
        <v>1487</v>
      </c>
      <c r="J1020" t="s">
        <v>783</v>
      </c>
    </row>
    <row r="1021" spans="2:10" x14ac:dyDescent="0.2">
      <c r="C1021" t="s">
        <v>782</v>
      </c>
      <c r="D1021" s="6"/>
      <c r="E1021" s="5"/>
      <c r="F1021" s="5"/>
      <c r="G1021" s="5"/>
      <c r="H1021" s="4"/>
      <c r="I1021" s="4"/>
    </row>
    <row r="1022" spans="2:10" x14ac:dyDescent="0.2">
      <c r="B1022">
        <v>133</v>
      </c>
      <c r="C1022" t="s">
        <v>802</v>
      </c>
      <c r="D1022" t="s">
        <v>1997</v>
      </c>
      <c r="E1022" s="5">
        <v>-1.0999999999999999E-2</v>
      </c>
      <c r="F1022" s="5">
        <v>6.5000000000000002E-2</v>
      </c>
      <c r="G1022" s="5">
        <v>-0.03</v>
      </c>
      <c r="H1022" t="s">
        <v>1998</v>
      </c>
      <c r="I1022" t="s">
        <v>1488</v>
      </c>
      <c r="J1022" t="s">
        <v>804</v>
      </c>
    </row>
    <row r="1023" spans="2:10" x14ac:dyDescent="0.2">
      <c r="C1023" t="s">
        <v>803</v>
      </c>
      <c r="D1023" s="6"/>
      <c r="E1023" s="5"/>
      <c r="F1023" s="5"/>
      <c r="G1023" s="5"/>
      <c r="H1023" s="4"/>
      <c r="I1023" s="4"/>
    </row>
    <row r="1024" spans="2:10" x14ac:dyDescent="0.2">
      <c r="B1024">
        <v>134</v>
      </c>
      <c r="C1024" t="s">
        <v>784</v>
      </c>
      <c r="D1024" t="s">
        <v>1999</v>
      </c>
      <c r="E1024" s="5">
        <v>3.0000000000000001E-3</v>
      </c>
      <c r="F1024" s="5">
        <v>-2.7E-2</v>
      </c>
      <c r="G1024" s="5">
        <v>-4.1000000000000002E-2</v>
      </c>
      <c r="H1024" t="s">
        <v>2000</v>
      </c>
      <c r="I1024" t="s">
        <v>1489</v>
      </c>
      <c r="J1024" t="s">
        <v>786</v>
      </c>
    </row>
    <row r="1025" spans="2:10" x14ac:dyDescent="0.2">
      <c r="C1025" t="s">
        <v>785</v>
      </c>
      <c r="D1025" s="6"/>
      <c r="E1025" s="5"/>
      <c r="F1025" s="5"/>
      <c r="G1025" s="5"/>
      <c r="H1025" s="4"/>
      <c r="I1025" s="4"/>
    </row>
    <row r="1026" spans="2:10" x14ac:dyDescent="0.2">
      <c r="B1026">
        <v>137</v>
      </c>
      <c r="C1026" t="s">
        <v>787</v>
      </c>
      <c r="D1026" t="s">
        <v>2001</v>
      </c>
      <c r="E1026" s="5">
        <v>-4.0000000000000001E-3</v>
      </c>
      <c r="F1026" s="5">
        <v>-1.7999999999999999E-2</v>
      </c>
      <c r="G1026" s="5">
        <v>-5.8000000000000003E-2</v>
      </c>
      <c r="H1026" t="s">
        <v>2002</v>
      </c>
      <c r="I1026" t="s">
        <v>2003</v>
      </c>
      <c r="J1026" t="s">
        <v>789</v>
      </c>
    </row>
    <row r="1027" spans="2:10" x14ac:dyDescent="0.2">
      <c r="C1027" t="s">
        <v>788</v>
      </c>
      <c r="D1027" s="6"/>
      <c r="E1027" s="5"/>
      <c r="F1027" s="5"/>
      <c r="G1027" s="5"/>
      <c r="H1027" s="4"/>
      <c r="I1027" s="4"/>
    </row>
    <row r="1028" spans="2:10" x14ac:dyDescent="0.2">
      <c r="B1028">
        <v>135</v>
      </c>
      <c r="C1028" t="s">
        <v>1059</v>
      </c>
      <c r="D1028" t="s">
        <v>1693</v>
      </c>
      <c r="E1028" s="5">
        <v>-2.5000000000000001E-2</v>
      </c>
      <c r="F1028" s="5">
        <v>-6.2E-2</v>
      </c>
      <c r="G1028" s="5">
        <v>-2.5999999999999999E-2</v>
      </c>
      <c r="H1028" t="s">
        <v>1694</v>
      </c>
      <c r="I1028" t="s">
        <v>1490</v>
      </c>
      <c r="J1028" t="s">
        <v>1061</v>
      </c>
    </row>
    <row r="1029" spans="2:10" x14ac:dyDescent="0.2">
      <c r="C1029" t="s">
        <v>1060</v>
      </c>
      <c r="D1029" s="6"/>
      <c r="E1029" s="5"/>
      <c r="F1029" s="5"/>
      <c r="G1029" s="5"/>
      <c r="H1029" s="4"/>
      <c r="I1029" s="4"/>
    </row>
    <row r="1030" spans="2:10" x14ac:dyDescent="0.2">
      <c r="B1030">
        <v>136</v>
      </c>
      <c r="C1030" t="s">
        <v>997</v>
      </c>
      <c r="D1030" t="s">
        <v>2004</v>
      </c>
      <c r="E1030" s="5">
        <v>-2.3E-2</v>
      </c>
      <c r="F1030" s="5">
        <v>4.1000000000000002E-2</v>
      </c>
      <c r="G1030" s="5">
        <v>1.125</v>
      </c>
      <c r="H1030" t="s">
        <v>2005</v>
      </c>
      <c r="I1030" t="s">
        <v>1491</v>
      </c>
      <c r="J1030" t="s">
        <v>999</v>
      </c>
    </row>
    <row r="1031" spans="2:10" x14ac:dyDescent="0.2">
      <c r="C1031" t="s">
        <v>998</v>
      </c>
      <c r="D1031" s="6"/>
      <c r="E1031" s="5"/>
      <c r="F1031" s="5"/>
      <c r="G1031" s="5"/>
      <c r="H1031" s="4"/>
      <c r="I1031" s="4"/>
    </row>
    <row r="1032" spans="2:10" x14ac:dyDescent="0.2">
      <c r="B1032">
        <v>138</v>
      </c>
      <c r="C1032" t="s">
        <v>763</v>
      </c>
      <c r="D1032" t="s">
        <v>2006</v>
      </c>
      <c r="E1032" s="5">
        <v>-4.0000000000000001E-3</v>
      </c>
      <c r="F1032" s="5">
        <v>-3.6999999999999998E-2</v>
      </c>
      <c r="G1032" s="5">
        <v>-1.9E-2</v>
      </c>
      <c r="H1032" t="s">
        <v>2007</v>
      </c>
      <c r="I1032" t="s">
        <v>1492</v>
      </c>
      <c r="J1032" t="s">
        <v>765</v>
      </c>
    </row>
    <row r="1033" spans="2:10" x14ac:dyDescent="0.2">
      <c r="C1033" t="s">
        <v>764</v>
      </c>
      <c r="D1033" s="6"/>
      <c r="E1033" s="5"/>
      <c r="F1033" s="5"/>
      <c r="G1033" s="5"/>
      <c r="H1033" s="4"/>
      <c r="I1033" s="4"/>
    </row>
    <row r="1034" spans="2:10" x14ac:dyDescent="0.2">
      <c r="B1034">
        <v>139</v>
      </c>
      <c r="C1034" t="s">
        <v>910</v>
      </c>
      <c r="D1034" t="s">
        <v>2008</v>
      </c>
      <c r="E1034" s="5">
        <v>2E-3</v>
      </c>
      <c r="F1034" s="5">
        <v>-1E-3</v>
      </c>
      <c r="G1034" s="5">
        <v>1E-3</v>
      </c>
      <c r="H1034" t="s">
        <v>2009</v>
      </c>
      <c r="I1034" t="s">
        <v>2010</v>
      </c>
      <c r="J1034" t="s">
        <v>912</v>
      </c>
    </row>
    <row r="1035" spans="2:10" x14ac:dyDescent="0.2">
      <c r="C1035" t="s">
        <v>911</v>
      </c>
      <c r="D1035" s="6"/>
      <c r="E1035" s="5"/>
      <c r="F1035" s="5"/>
      <c r="G1035" s="5"/>
      <c r="H1035" s="4"/>
      <c r="I1035" s="4"/>
    </row>
    <row r="1036" spans="2:10" x14ac:dyDescent="0.2">
      <c r="B1036">
        <v>140</v>
      </c>
      <c r="C1036" t="s">
        <v>790</v>
      </c>
      <c r="D1036" t="s">
        <v>2011</v>
      </c>
      <c r="E1036" s="5">
        <v>-1E-3</v>
      </c>
      <c r="F1036" s="5">
        <v>-2.7E-2</v>
      </c>
      <c r="G1036" s="5">
        <v>6.0000000000000001E-3</v>
      </c>
      <c r="H1036" t="s">
        <v>2012</v>
      </c>
      <c r="I1036" t="s">
        <v>2013</v>
      </c>
      <c r="J1036" t="s">
        <v>792</v>
      </c>
    </row>
    <row r="1037" spans="2:10" x14ac:dyDescent="0.2">
      <c r="C1037" t="s">
        <v>791</v>
      </c>
      <c r="D1037" s="6"/>
      <c r="E1037" s="5"/>
      <c r="F1037" s="5"/>
      <c r="G1037" s="5"/>
      <c r="H1037" s="4"/>
      <c r="I1037" s="4"/>
    </row>
    <row r="1038" spans="2:10" x14ac:dyDescent="0.2">
      <c r="B1038">
        <v>141</v>
      </c>
      <c r="C1038" t="s">
        <v>967</v>
      </c>
      <c r="D1038" t="s">
        <v>2014</v>
      </c>
      <c r="E1038" s="5">
        <v>1E-3</v>
      </c>
      <c r="F1038" s="5">
        <v>-0.02</v>
      </c>
      <c r="G1038" s="5">
        <v>7.4999999999999997E-2</v>
      </c>
      <c r="H1038" t="s">
        <v>2015</v>
      </c>
      <c r="I1038" t="s">
        <v>2016</v>
      </c>
      <c r="J1038" t="s">
        <v>969</v>
      </c>
    </row>
    <row r="1039" spans="2:10" x14ac:dyDescent="0.2">
      <c r="C1039" t="s">
        <v>968</v>
      </c>
      <c r="D1039" s="6"/>
      <c r="E1039" s="5"/>
      <c r="F1039" s="5"/>
      <c r="G1039" s="5"/>
      <c r="H1039" s="4"/>
      <c r="I1039" s="4"/>
    </row>
    <row r="1040" spans="2:10" x14ac:dyDescent="0.2">
      <c r="B1040">
        <v>142</v>
      </c>
      <c r="C1040" t="s">
        <v>829</v>
      </c>
      <c r="D1040" t="s">
        <v>1620</v>
      </c>
      <c r="E1040" s="5">
        <v>-4.0000000000000001E-3</v>
      </c>
      <c r="F1040" s="5">
        <v>2.3E-2</v>
      </c>
      <c r="G1040" s="5">
        <v>0.14399999999999999</v>
      </c>
      <c r="H1040" t="s">
        <v>2017</v>
      </c>
      <c r="I1040" t="s">
        <v>1493</v>
      </c>
      <c r="J1040" t="s">
        <v>831</v>
      </c>
    </row>
    <row r="1041" spans="2:10" x14ac:dyDescent="0.2">
      <c r="C1041" t="s">
        <v>830</v>
      </c>
      <c r="D1041" s="6"/>
      <c r="E1041" s="5"/>
      <c r="F1041" s="5"/>
      <c r="G1041" s="5"/>
      <c r="H1041" s="4"/>
      <c r="I1041" s="4"/>
    </row>
    <row r="1042" spans="2:10" x14ac:dyDescent="0.2">
      <c r="B1042">
        <v>143</v>
      </c>
      <c r="C1042" t="s">
        <v>956</v>
      </c>
      <c r="D1042" t="s">
        <v>2018</v>
      </c>
      <c r="E1042" s="5">
        <v>4.9000000000000002E-2</v>
      </c>
      <c r="F1042" s="5">
        <v>7.1999999999999995E-2</v>
      </c>
      <c r="G1042" s="5">
        <v>0.29899999999999999</v>
      </c>
      <c r="H1042" t="s">
        <v>2019</v>
      </c>
      <c r="I1042" t="s">
        <v>1494</v>
      </c>
      <c r="J1042" t="s">
        <v>958</v>
      </c>
    </row>
    <row r="1043" spans="2:10" x14ac:dyDescent="0.2">
      <c r="C1043" t="s">
        <v>957</v>
      </c>
      <c r="D1043" s="6"/>
      <c r="E1043" s="5"/>
      <c r="F1043" s="5"/>
      <c r="G1043" s="5"/>
      <c r="H1043" s="4"/>
      <c r="I1043" s="4"/>
    </row>
    <row r="1044" spans="2:10" x14ac:dyDescent="0.2">
      <c r="B1044">
        <v>144</v>
      </c>
      <c r="C1044" t="s">
        <v>919</v>
      </c>
      <c r="D1044" t="s">
        <v>2020</v>
      </c>
      <c r="E1044" s="5">
        <v>4.0000000000000001E-3</v>
      </c>
      <c r="F1044" s="5">
        <v>-5.1999999999999998E-2</v>
      </c>
      <c r="G1044" s="5">
        <v>0.13200000000000001</v>
      </c>
      <c r="H1044" t="s">
        <v>2021</v>
      </c>
      <c r="I1044" t="s">
        <v>2022</v>
      </c>
      <c r="J1044" t="s">
        <v>921</v>
      </c>
    </row>
    <row r="1045" spans="2:10" x14ac:dyDescent="0.2">
      <c r="C1045" t="s">
        <v>920</v>
      </c>
      <c r="D1045" s="6"/>
      <c r="E1045" s="5"/>
      <c r="F1045" s="5"/>
      <c r="G1045" s="5"/>
      <c r="H1045" s="4"/>
      <c r="I1045" s="4"/>
    </row>
    <row r="1046" spans="2:10" x14ac:dyDescent="0.2">
      <c r="B1046">
        <v>146</v>
      </c>
      <c r="C1046" t="s">
        <v>1062</v>
      </c>
      <c r="D1046" t="s">
        <v>2023</v>
      </c>
      <c r="E1046" s="5">
        <v>-1.0999999999999999E-2</v>
      </c>
      <c r="F1046" s="5">
        <v>-4.2999999999999997E-2</v>
      </c>
      <c r="G1046" s="5">
        <v>8.5999999999999993E-2</v>
      </c>
      <c r="H1046" t="s">
        <v>2024</v>
      </c>
      <c r="I1046" t="s">
        <v>1495</v>
      </c>
      <c r="J1046" t="s">
        <v>1064</v>
      </c>
    </row>
    <row r="1047" spans="2:10" x14ac:dyDescent="0.2">
      <c r="C1047" t="s">
        <v>1063</v>
      </c>
      <c r="D1047" s="6"/>
      <c r="E1047" s="5"/>
      <c r="F1047" s="5"/>
      <c r="G1047" s="5"/>
      <c r="H1047" s="4"/>
      <c r="I1047" s="4"/>
    </row>
    <row r="1048" spans="2:10" x14ac:dyDescent="0.2">
      <c r="B1048">
        <v>147</v>
      </c>
      <c r="C1048" t="s">
        <v>823</v>
      </c>
      <c r="D1048" t="s">
        <v>2025</v>
      </c>
      <c r="E1048" s="5">
        <v>-0.01</v>
      </c>
      <c r="F1048" s="5">
        <v>-5.8999999999999997E-2</v>
      </c>
      <c r="G1048" s="5">
        <v>-0.126</v>
      </c>
      <c r="H1048" t="s">
        <v>2026</v>
      </c>
      <c r="I1048" t="s">
        <v>2027</v>
      </c>
      <c r="J1048" t="s">
        <v>825</v>
      </c>
    </row>
    <row r="1049" spans="2:10" x14ac:dyDescent="0.2">
      <c r="C1049" t="s">
        <v>824</v>
      </c>
      <c r="D1049" s="6"/>
      <c r="E1049" s="5"/>
      <c r="F1049" s="5"/>
      <c r="G1049" s="5"/>
      <c r="H1049" s="4"/>
      <c r="I1049" s="4"/>
    </row>
    <row r="1050" spans="2:10" x14ac:dyDescent="0.2">
      <c r="B1050">
        <v>145</v>
      </c>
      <c r="C1050" t="s">
        <v>859</v>
      </c>
      <c r="D1050" t="s">
        <v>2028</v>
      </c>
      <c r="E1050" s="5">
        <v>-1.9E-2</v>
      </c>
      <c r="F1050" s="5">
        <v>-0.01</v>
      </c>
      <c r="G1050" s="5">
        <v>-1E-3</v>
      </c>
      <c r="H1050" t="s">
        <v>2029</v>
      </c>
      <c r="I1050" t="s">
        <v>2030</v>
      </c>
      <c r="J1050" t="s">
        <v>861</v>
      </c>
    </row>
    <row r="1051" spans="2:10" x14ac:dyDescent="0.2">
      <c r="C1051" t="s">
        <v>860</v>
      </c>
      <c r="D1051" s="6"/>
      <c r="E1051" s="5"/>
      <c r="F1051" s="5"/>
      <c r="G1051" s="5"/>
      <c r="H1051" s="4"/>
      <c r="I1051" s="4"/>
    </row>
    <row r="1052" spans="2:10" x14ac:dyDescent="0.2">
      <c r="B1052">
        <v>149</v>
      </c>
      <c r="C1052" t="s">
        <v>844</v>
      </c>
      <c r="D1052" t="s">
        <v>1642</v>
      </c>
      <c r="E1052" s="5">
        <v>3.0000000000000001E-3</v>
      </c>
      <c r="F1052" s="5">
        <v>-5.0000000000000001E-3</v>
      </c>
      <c r="G1052" s="5">
        <v>-0.19</v>
      </c>
      <c r="H1052" t="s">
        <v>1643</v>
      </c>
      <c r="I1052" t="s">
        <v>2031</v>
      </c>
      <c r="J1052" t="s">
        <v>846</v>
      </c>
    </row>
    <row r="1053" spans="2:10" x14ac:dyDescent="0.2">
      <c r="C1053" t="s">
        <v>845</v>
      </c>
      <c r="D1053" s="6"/>
      <c r="E1053" s="5"/>
      <c r="F1053" s="5"/>
      <c r="G1053" s="5"/>
      <c r="H1053" s="4"/>
      <c r="I1053" s="4"/>
    </row>
    <row r="1054" spans="2:10" x14ac:dyDescent="0.2">
      <c r="B1054">
        <v>150</v>
      </c>
      <c r="C1054" t="s">
        <v>937</v>
      </c>
      <c r="D1054" t="s">
        <v>1695</v>
      </c>
      <c r="E1054" s="5">
        <v>3.4000000000000002E-2</v>
      </c>
      <c r="F1054" s="5">
        <v>7.0000000000000001E-3</v>
      </c>
      <c r="G1054" s="5">
        <v>0.30299999999999999</v>
      </c>
      <c r="H1054" t="s">
        <v>1696</v>
      </c>
      <c r="I1054" t="s">
        <v>1496</v>
      </c>
      <c r="J1054" t="s">
        <v>939</v>
      </c>
    </row>
    <row r="1055" spans="2:10" x14ac:dyDescent="0.2">
      <c r="C1055" t="s">
        <v>938</v>
      </c>
      <c r="D1055" s="6"/>
      <c r="E1055" s="5"/>
      <c r="F1055" s="5"/>
      <c r="G1055" s="5"/>
      <c r="H1055" s="4"/>
      <c r="I1055" s="4"/>
    </row>
    <row r="1056" spans="2:10" x14ac:dyDescent="0.2">
      <c r="B1056">
        <v>148</v>
      </c>
      <c r="C1056" t="s">
        <v>847</v>
      </c>
      <c r="D1056" t="s">
        <v>965</v>
      </c>
      <c r="E1056" s="5">
        <v>-1.0999999999999999E-2</v>
      </c>
      <c r="F1056" s="5">
        <v>-8.0000000000000002E-3</v>
      </c>
      <c r="G1056" s="5">
        <v>8.0000000000000002E-3</v>
      </c>
      <c r="H1056" t="s">
        <v>2032</v>
      </c>
      <c r="I1056" t="s">
        <v>2033</v>
      </c>
      <c r="J1056" t="s">
        <v>849</v>
      </c>
    </row>
    <row r="1057" spans="2:10" x14ac:dyDescent="0.2">
      <c r="C1057" t="s">
        <v>848</v>
      </c>
      <c r="D1057" s="6"/>
      <c r="E1057" s="5"/>
      <c r="F1057" s="5"/>
      <c r="G1057" s="5"/>
      <c r="H1057" s="4"/>
      <c r="I1057" s="4"/>
    </row>
    <row r="1058" spans="2:10" x14ac:dyDescent="0.2">
      <c r="B1058">
        <v>151</v>
      </c>
      <c r="C1058" t="s">
        <v>943</v>
      </c>
      <c r="D1058" t="s">
        <v>1411</v>
      </c>
      <c r="E1058" s="5">
        <v>8.0000000000000002E-3</v>
      </c>
      <c r="F1058" s="5">
        <v>4.0000000000000001E-3</v>
      </c>
      <c r="G1058" s="5">
        <v>8.0000000000000002E-3</v>
      </c>
      <c r="H1058" t="s">
        <v>2034</v>
      </c>
      <c r="I1058" t="s">
        <v>2035</v>
      </c>
      <c r="J1058" t="s">
        <v>945</v>
      </c>
    </row>
    <row r="1059" spans="2:10" x14ac:dyDescent="0.2">
      <c r="C1059" t="s">
        <v>944</v>
      </c>
      <c r="D1059" s="6"/>
      <c r="E1059" s="5"/>
      <c r="F1059" s="5"/>
      <c r="G1059" s="5"/>
      <c r="H1059" s="4"/>
      <c r="I1059" s="4"/>
    </row>
    <row r="1060" spans="2:10" x14ac:dyDescent="0.2">
      <c r="B1060">
        <v>152</v>
      </c>
      <c r="C1060" t="s">
        <v>940</v>
      </c>
      <c r="D1060" t="s">
        <v>1412</v>
      </c>
      <c r="E1060" s="5">
        <v>0</v>
      </c>
      <c r="F1060" s="5">
        <v>3.7999999999999999E-2</v>
      </c>
      <c r="G1060" s="5">
        <v>0.19</v>
      </c>
      <c r="H1060" t="s">
        <v>2036</v>
      </c>
      <c r="I1060" t="s">
        <v>1497</v>
      </c>
      <c r="J1060" t="s">
        <v>942</v>
      </c>
    </row>
    <row r="1061" spans="2:10" x14ac:dyDescent="0.2">
      <c r="C1061" t="s">
        <v>941</v>
      </c>
      <c r="D1061" s="6"/>
      <c r="E1061" s="5"/>
      <c r="F1061" s="5"/>
      <c r="G1061" s="5"/>
      <c r="H1061" s="4"/>
      <c r="I1061" s="4"/>
    </row>
    <row r="1062" spans="2:10" x14ac:dyDescent="0.2">
      <c r="B1062">
        <v>153</v>
      </c>
      <c r="C1062" t="s">
        <v>856</v>
      </c>
      <c r="D1062" t="s">
        <v>2037</v>
      </c>
      <c r="E1062" s="5">
        <v>4.0000000000000001E-3</v>
      </c>
      <c r="F1062" s="5">
        <v>-0.01</v>
      </c>
      <c r="G1062" s="5">
        <v>-5.5E-2</v>
      </c>
      <c r="H1062" t="s">
        <v>2038</v>
      </c>
      <c r="I1062" t="s">
        <v>1498</v>
      </c>
      <c r="J1062" t="s">
        <v>858</v>
      </c>
    </row>
    <row r="1063" spans="2:10" x14ac:dyDescent="0.2">
      <c r="C1063" t="s">
        <v>857</v>
      </c>
      <c r="D1063" s="6"/>
      <c r="E1063" s="5"/>
      <c r="F1063" s="5"/>
      <c r="G1063" s="5"/>
      <c r="H1063" s="4"/>
      <c r="I1063" s="4"/>
    </row>
    <row r="1064" spans="2:10" x14ac:dyDescent="0.2">
      <c r="B1064">
        <v>154</v>
      </c>
      <c r="C1064" t="s">
        <v>838</v>
      </c>
      <c r="D1064" t="s">
        <v>2039</v>
      </c>
      <c r="E1064" s="5">
        <v>2E-3</v>
      </c>
      <c r="F1064" s="5">
        <v>-2.1000000000000001E-2</v>
      </c>
      <c r="G1064" s="5">
        <v>0.05</v>
      </c>
      <c r="H1064" t="s">
        <v>2040</v>
      </c>
      <c r="I1064" t="s">
        <v>2041</v>
      </c>
      <c r="J1064" t="s">
        <v>840</v>
      </c>
    </row>
    <row r="1065" spans="2:10" x14ac:dyDescent="0.2">
      <c r="C1065" t="s">
        <v>839</v>
      </c>
      <c r="D1065" s="6"/>
      <c r="E1065" s="5"/>
      <c r="F1065" s="5"/>
      <c r="G1065" s="5"/>
      <c r="H1065" s="4"/>
      <c r="I1065" s="4"/>
    </row>
    <row r="1066" spans="2:10" x14ac:dyDescent="0.2">
      <c r="B1066">
        <v>155</v>
      </c>
      <c r="C1066" t="s">
        <v>871</v>
      </c>
      <c r="D1066" t="s">
        <v>2042</v>
      </c>
      <c r="E1066" s="5">
        <v>-7.0000000000000001E-3</v>
      </c>
      <c r="F1066" s="5">
        <v>-1.6E-2</v>
      </c>
      <c r="G1066" s="5">
        <v>-1.2999999999999999E-2</v>
      </c>
      <c r="H1066" t="s">
        <v>2043</v>
      </c>
      <c r="I1066" t="s">
        <v>2044</v>
      </c>
      <c r="J1066" t="s">
        <v>873</v>
      </c>
    </row>
    <row r="1067" spans="2:10" x14ac:dyDescent="0.2">
      <c r="C1067" t="s">
        <v>872</v>
      </c>
      <c r="D1067" s="6"/>
      <c r="E1067" s="5"/>
      <c r="F1067" s="5"/>
      <c r="G1067" s="5"/>
      <c r="H1067" s="4"/>
      <c r="I1067" s="4"/>
    </row>
    <row r="1068" spans="2:10" x14ac:dyDescent="0.2">
      <c r="B1068">
        <v>156</v>
      </c>
      <c r="C1068" t="s">
        <v>820</v>
      </c>
      <c r="D1068" t="s">
        <v>2045</v>
      </c>
      <c r="E1068" s="5">
        <v>8.0000000000000002E-3</v>
      </c>
      <c r="F1068" s="5">
        <v>-8.0000000000000002E-3</v>
      </c>
      <c r="G1068" s="5">
        <v>-0.13900000000000001</v>
      </c>
      <c r="H1068" t="s">
        <v>2046</v>
      </c>
      <c r="I1068" t="s">
        <v>2047</v>
      </c>
      <c r="J1068" t="s">
        <v>822</v>
      </c>
    </row>
    <row r="1069" spans="2:10" x14ac:dyDescent="0.2">
      <c r="C1069" t="s">
        <v>821</v>
      </c>
      <c r="D1069" s="6"/>
      <c r="E1069" s="5"/>
      <c r="F1069" s="5"/>
      <c r="G1069" s="5"/>
      <c r="H1069" s="4"/>
      <c r="I1069" s="4"/>
    </row>
    <row r="1070" spans="2:10" x14ac:dyDescent="0.2">
      <c r="B1070">
        <v>157</v>
      </c>
      <c r="C1070" t="s">
        <v>981</v>
      </c>
      <c r="D1070" t="s">
        <v>1697</v>
      </c>
      <c r="E1070" s="5">
        <v>-1.6E-2</v>
      </c>
      <c r="F1070" s="5">
        <v>4.8000000000000001E-2</v>
      </c>
      <c r="G1070" s="5">
        <v>0.115</v>
      </c>
      <c r="H1070" t="s">
        <v>1698</v>
      </c>
      <c r="I1070" t="s">
        <v>1499</v>
      </c>
      <c r="J1070" t="s">
        <v>983</v>
      </c>
    </row>
    <row r="1071" spans="2:10" x14ac:dyDescent="0.2">
      <c r="C1071" t="s">
        <v>982</v>
      </c>
      <c r="D1071" s="6"/>
      <c r="E1071" s="5"/>
      <c r="F1071" s="5"/>
      <c r="G1071" s="5"/>
      <c r="H1071" s="4"/>
      <c r="I1071" s="4"/>
    </row>
    <row r="1072" spans="2:10" x14ac:dyDescent="0.2">
      <c r="B1072">
        <v>158</v>
      </c>
      <c r="C1072" t="s">
        <v>1065</v>
      </c>
      <c r="D1072" t="s">
        <v>2048</v>
      </c>
      <c r="E1072" s="5">
        <v>-1.2999999999999999E-2</v>
      </c>
      <c r="F1072" s="5">
        <v>-2.7E-2</v>
      </c>
      <c r="G1072" s="5">
        <v>0.72899999999999998</v>
      </c>
      <c r="H1072" t="s">
        <v>2049</v>
      </c>
      <c r="I1072" t="s">
        <v>2050</v>
      </c>
      <c r="J1072" t="s">
        <v>1067</v>
      </c>
    </row>
    <row r="1073" spans="2:10" x14ac:dyDescent="0.2">
      <c r="C1073" t="s">
        <v>1066</v>
      </c>
      <c r="D1073" s="6"/>
      <c r="E1073" s="5"/>
      <c r="F1073" s="5"/>
      <c r="G1073" s="5"/>
      <c r="H1073" s="4"/>
      <c r="I1073" s="4"/>
    </row>
    <row r="1074" spans="2:10" x14ac:dyDescent="0.2">
      <c r="B1074">
        <v>159</v>
      </c>
      <c r="C1074" t="s">
        <v>874</v>
      </c>
      <c r="D1074" t="s">
        <v>1699</v>
      </c>
      <c r="E1074" s="5">
        <v>4.0000000000000001E-3</v>
      </c>
      <c r="F1074" s="5">
        <v>-2.7E-2</v>
      </c>
      <c r="G1074" s="5">
        <v>1.4999999999999999E-2</v>
      </c>
      <c r="H1074" t="s">
        <v>1700</v>
      </c>
      <c r="I1074" t="s">
        <v>1500</v>
      </c>
      <c r="J1074" t="s">
        <v>876</v>
      </c>
    </row>
    <row r="1075" spans="2:10" x14ac:dyDescent="0.2">
      <c r="C1075" t="s">
        <v>875</v>
      </c>
      <c r="D1075" s="6"/>
      <c r="E1075" s="5"/>
      <c r="F1075" s="5"/>
      <c r="G1075" s="5"/>
      <c r="H1075" s="4"/>
      <c r="I1075" s="4"/>
    </row>
    <row r="1076" spans="2:10" x14ac:dyDescent="0.2">
      <c r="B1076">
        <v>161</v>
      </c>
      <c r="C1076" t="s">
        <v>949</v>
      </c>
      <c r="D1076" t="s">
        <v>2051</v>
      </c>
      <c r="E1076" s="5">
        <v>1E-3</v>
      </c>
      <c r="F1076" s="5">
        <v>-1.7999999999999999E-2</v>
      </c>
      <c r="G1076" s="5">
        <v>-0.14599999999999999</v>
      </c>
      <c r="H1076" t="s">
        <v>2052</v>
      </c>
      <c r="I1076" t="s">
        <v>2053</v>
      </c>
      <c r="J1076" t="s">
        <v>951</v>
      </c>
    </row>
    <row r="1077" spans="2:10" x14ac:dyDescent="0.2">
      <c r="C1077" t="s">
        <v>950</v>
      </c>
      <c r="D1077" s="6"/>
      <c r="E1077" s="5"/>
      <c r="F1077" s="5"/>
      <c r="G1077" s="5"/>
      <c r="H1077" s="6"/>
      <c r="I1077" s="4"/>
    </row>
    <row r="1078" spans="2:10" x14ac:dyDescent="0.2">
      <c r="B1078">
        <v>162</v>
      </c>
      <c r="C1078" t="s">
        <v>898</v>
      </c>
      <c r="D1078" t="s">
        <v>2054</v>
      </c>
      <c r="E1078" s="5">
        <v>0</v>
      </c>
      <c r="F1078" s="5">
        <v>-1.2E-2</v>
      </c>
      <c r="G1078" s="5">
        <v>4.2000000000000003E-2</v>
      </c>
      <c r="H1078" t="s">
        <v>2055</v>
      </c>
      <c r="I1078" t="s">
        <v>1501</v>
      </c>
      <c r="J1078" t="s">
        <v>900</v>
      </c>
    </row>
    <row r="1079" spans="2:10" x14ac:dyDescent="0.2">
      <c r="C1079" t="s">
        <v>899</v>
      </c>
      <c r="D1079" s="6"/>
      <c r="E1079" s="5"/>
      <c r="F1079" s="5"/>
      <c r="G1079" s="5"/>
      <c r="H1079" s="4"/>
      <c r="I1079" s="4"/>
    </row>
    <row r="1080" spans="2:10" x14ac:dyDescent="0.2">
      <c r="B1080">
        <v>160</v>
      </c>
      <c r="C1080" t="s">
        <v>853</v>
      </c>
      <c r="D1080" t="s">
        <v>2056</v>
      </c>
      <c r="E1080" s="5">
        <v>-5.0000000000000001E-3</v>
      </c>
      <c r="F1080" s="5">
        <v>-7.5999999999999998E-2</v>
      </c>
      <c r="G1080" s="5">
        <v>0.14099999999999999</v>
      </c>
      <c r="H1080" t="s">
        <v>2057</v>
      </c>
      <c r="I1080" t="s">
        <v>2058</v>
      </c>
      <c r="J1080" t="s">
        <v>855</v>
      </c>
    </row>
    <row r="1081" spans="2:10" x14ac:dyDescent="0.2">
      <c r="C1081" t="s">
        <v>854</v>
      </c>
      <c r="D1081" s="6"/>
      <c r="E1081" s="5"/>
      <c r="F1081" s="5"/>
      <c r="G1081" s="5"/>
      <c r="H1081" s="4"/>
      <c r="I1081" s="4"/>
    </row>
    <row r="1082" spans="2:10" x14ac:dyDescent="0.2">
      <c r="B1082">
        <v>163</v>
      </c>
      <c r="C1082" t="s">
        <v>904</v>
      </c>
      <c r="D1082" t="s">
        <v>1701</v>
      </c>
      <c r="E1082" s="5">
        <v>-0.01</v>
      </c>
      <c r="F1082" s="5">
        <v>-6.4000000000000001E-2</v>
      </c>
      <c r="G1082" s="5">
        <v>-0.02</v>
      </c>
      <c r="H1082" t="s">
        <v>2059</v>
      </c>
      <c r="I1082" t="s">
        <v>1502</v>
      </c>
      <c r="J1082" t="s">
        <v>906</v>
      </c>
    </row>
    <row r="1083" spans="2:10" x14ac:dyDescent="0.2">
      <c r="C1083" t="s">
        <v>905</v>
      </c>
      <c r="D1083" s="6"/>
      <c r="E1083" s="5"/>
      <c r="F1083" s="5"/>
      <c r="G1083" s="5"/>
      <c r="H1083" s="4"/>
      <c r="I1083" s="4"/>
    </row>
    <row r="1084" spans="2:10" x14ac:dyDescent="0.2">
      <c r="B1084">
        <v>164</v>
      </c>
      <c r="C1084" t="s">
        <v>865</v>
      </c>
      <c r="D1084" t="s">
        <v>1604</v>
      </c>
      <c r="E1084" s="5">
        <v>-4.0000000000000001E-3</v>
      </c>
      <c r="F1084" s="5">
        <v>3.0000000000000001E-3</v>
      </c>
      <c r="G1084" s="5">
        <v>-4.3999999999999997E-2</v>
      </c>
      <c r="H1084" t="s">
        <v>2060</v>
      </c>
      <c r="I1084" t="s">
        <v>1503</v>
      </c>
      <c r="J1084" t="s">
        <v>867</v>
      </c>
    </row>
    <row r="1085" spans="2:10" x14ac:dyDescent="0.2">
      <c r="C1085" t="s">
        <v>866</v>
      </c>
      <c r="D1085" s="6"/>
      <c r="E1085" s="5"/>
      <c r="F1085" s="5"/>
      <c r="G1085" s="5"/>
      <c r="H1085" s="4"/>
      <c r="I1085" s="4"/>
    </row>
    <row r="1086" spans="2:10" x14ac:dyDescent="0.2">
      <c r="B1086">
        <v>165</v>
      </c>
      <c r="C1086" t="s">
        <v>841</v>
      </c>
      <c r="D1086" t="s">
        <v>1616</v>
      </c>
      <c r="E1086" s="5">
        <v>0</v>
      </c>
      <c r="F1086" s="5">
        <v>-5.0000000000000001E-3</v>
      </c>
      <c r="G1086" s="5">
        <v>2.4E-2</v>
      </c>
      <c r="H1086" t="s">
        <v>2061</v>
      </c>
      <c r="I1086" t="s">
        <v>1504</v>
      </c>
      <c r="J1086" t="s">
        <v>843</v>
      </c>
    </row>
    <row r="1087" spans="2:10" x14ac:dyDescent="0.2">
      <c r="C1087" t="s">
        <v>842</v>
      </c>
      <c r="D1087" s="6"/>
      <c r="E1087" s="5"/>
      <c r="F1087" s="5"/>
      <c r="G1087" s="5"/>
      <c r="H1087" s="4"/>
      <c r="I1087" s="4"/>
    </row>
    <row r="1088" spans="2:10" x14ac:dyDescent="0.2">
      <c r="B1088">
        <v>166</v>
      </c>
      <c r="C1088" t="s">
        <v>862</v>
      </c>
      <c r="D1088" t="s">
        <v>2062</v>
      </c>
      <c r="E1088" s="5">
        <v>-4.0000000000000001E-3</v>
      </c>
      <c r="F1088" s="5">
        <v>-1.4E-2</v>
      </c>
      <c r="G1088" s="5">
        <v>6.0000000000000001E-3</v>
      </c>
      <c r="H1088" t="s">
        <v>2063</v>
      </c>
      <c r="I1088" t="s">
        <v>2064</v>
      </c>
      <c r="J1088" t="s">
        <v>864</v>
      </c>
    </row>
    <row r="1089" spans="2:10" x14ac:dyDescent="0.2">
      <c r="C1089" t="s">
        <v>863</v>
      </c>
      <c r="D1089" s="6"/>
      <c r="E1089" s="5"/>
      <c r="F1089" s="5"/>
      <c r="G1089" s="5"/>
      <c r="H1089" s="4"/>
      <c r="I1089" s="4"/>
    </row>
    <row r="1090" spans="2:10" x14ac:dyDescent="0.2">
      <c r="B1090">
        <v>168</v>
      </c>
      <c r="C1090" t="s">
        <v>877</v>
      </c>
      <c r="D1090" t="s">
        <v>2065</v>
      </c>
      <c r="E1090" s="5">
        <v>-2.4E-2</v>
      </c>
      <c r="F1090" s="5">
        <v>-2.5999999999999999E-2</v>
      </c>
      <c r="G1090" s="5">
        <v>-2.3E-2</v>
      </c>
      <c r="H1090" t="s">
        <v>2066</v>
      </c>
      <c r="I1090" t="s">
        <v>1505</v>
      </c>
      <c r="J1090" t="s">
        <v>879</v>
      </c>
    </row>
    <row r="1091" spans="2:10" x14ac:dyDescent="0.2">
      <c r="C1091" t="s">
        <v>878</v>
      </c>
      <c r="D1091" s="6"/>
      <c r="E1091" s="5"/>
      <c r="F1091" s="5"/>
      <c r="G1091" s="5"/>
      <c r="H1091" s="4"/>
      <c r="I1091" s="4"/>
    </row>
    <row r="1092" spans="2:10" x14ac:dyDescent="0.2">
      <c r="B1092">
        <v>169</v>
      </c>
      <c r="C1092" t="s">
        <v>928</v>
      </c>
      <c r="D1092" t="s">
        <v>2067</v>
      </c>
      <c r="E1092" s="5">
        <v>-4.0000000000000001E-3</v>
      </c>
      <c r="F1092" s="5">
        <v>-1E-3</v>
      </c>
      <c r="G1092" s="5">
        <v>8.9999999999999993E-3</v>
      </c>
      <c r="H1092" t="s">
        <v>2068</v>
      </c>
      <c r="I1092" t="s">
        <v>1506</v>
      </c>
      <c r="J1092" t="s">
        <v>930</v>
      </c>
    </row>
    <row r="1093" spans="2:10" x14ac:dyDescent="0.2">
      <c r="C1093" t="s">
        <v>929</v>
      </c>
      <c r="D1093" s="6"/>
      <c r="E1093" s="5"/>
      <c r="F1093" s="5"/>
      <c r="G1093" s="5"/>
      <c r="H1093" s="4"/>
      <c r="I1093" s="4"/>
    </row>
    <row r="1094" spans="2:10" x14ac:dyDescent="0.2">
      <c r="B1094">
        <v>167</v>
      </c>
      <c r="C1094" t="s">
        <v>973</v>
      </c>
      <c r="D1094" t="s">
        <v>1644</v>
      </c>
      <c r="E1094" s="5">
        <v>-0.02</v>
      </c>
      <c r="F1094" s="5">
        <v>-6.4000000000000001E-2</v>
      </c>
      <c r="G1094" s="5">
        <v>-0.14499999999999999</v>
      </c>
      <c r="H1094" t="s">
        <v>1702</v>
      </c>
      <c r="I1094" t="s">
        <v>2069</v>
      </c>
      <c r="J1094" t="s">
        <v>975</v>
      </c>
    </row>
    <row r="1095" spans="2:10" x14ac:dyDescent="0.2">
      <c r="C1095" t="s">
        <v>974</v>
      </c>
      <c r="D1095" s="6"/>
      <c r="E1095" s="5"/>
      <c r="F1095" s="5"/>
      <c r="G1095" s="5"/>
      <c r="H1095" s="4"/>
      <c r="I1095" s="4"/>
    </row>
    <row r="1096" spans="2:10" x14ac:dyDescent="0.2">
      <c r="B1096">
        <v>170</v>
      </c>
      <c r="C1096" t="s">
        <v>946</v>
      </c>
      <c r="D1096" t="s">
        <v>1645</v>
      </c>
      <c r="E1096" s="5">
        <v>-6.0000000000000001E-3</v>
      </c>
      <c r="F1096" s="5">
        <v>-2.1000000000000001E-2</v>
      </c>
      <c r="G1096" s="5">
        <v>0.123</v>
      </c>
      <c r="H1096" t="s">
        <v>1646</v>
      </c>
      <c r="I1096" t="s">
        <v>2070</v>
      </c>
      <c r="J1096" t="s">
        <v>948</v>
      </c>
    </row>
    <row r="1097" spans="2:10" x14ac:dyDescent="0.2">
      <c r="C1097" t="s">
        <v>947</v>
      </c>
      <c r="D1097" s="6"/>
      <c r="E1097" s="5"/>
      <c r="F1097" s="5"/>
      <c r="G1097" s="5"/>
      <c r="H1097" s="4"/>
      <c r="I1097" s="4"/>
    </row>
    <row r="1098" spans="2:10" x14ac:dyDescent="0.2">
      <c r="B1098">
        <v>171</v>
      </c>
      <c r="C1098" t="s">
        <v>1006</v>
      </c>
      <c r="D1098" t="s">
        <v>965</v>
      </c>
      <c r="E1098" s="5">
        <v>1.4E-2</v>
      </c>
      <c r="F1098" s="5">
        <v>1E-3</v>
      </c>
      <c r="G1098" s="5">
        <v>8.9999999999999993E-3</v>
      </c>
      <c r="H1098" t="s">
        <v>2071</v>
      </c>
      <c r="I1098" t="s">
        <v>1507</v>
      </c>
      <c r="J1098" t="s">
        <v>1008</v>
      </c>
    </row>
    <row r="1099" spans="2:10" x14ac:dyDescent="0.2">
      <c r="C1099" t="s">
        <v>1007</v>
      </c>
      <c r="D1099" s="6"/>
      <c r="E1099" s="5"/>
      <c r="F1099" s="5"/>
      <c r="G1099" s="5"/>
      <c r="H1099" s="4"/>
      <c r="I1099" s="4"/>
    </row>
    <row r="1100" spans="2:10" x14ac:dyDescent="0.2">
      <c r="B1100">
        <v>172</v>
      </c>
      <c r="C1100" t="s">
        <v>1012</v>
      </c>
      <c r="D1100" t="s">
        <v>1703</v>
      </c>
      <c r="E1100" s="5">
        <v>7.0000000000000001E-3</v>
      </c>
      <c r="F1100" s="5">
        <v>-2.5999999999999999E-2</v>
      </c>
      <c r="G1100" s="5">
        <v>8.7999999999999995E-2</v>
      </c>
      <c r="H1100" t="s">
        <v>2072</v>
      </c>
      <c r="I1100" t="s">
        <v>1508</v>
      </c>
      <c r="J1100" t="s">
        <v>1014</v>
      </c>
    </row>
    <row r="1101" spans="2:10" x14ac:dyDescent="0.2">
      <c r="C1101" t="s">
        <v>1013</v>
      </c>
      <c r="D1101" s="6"/>
      <c r="E1101" s="5"/>
      <c r="F1101" s="5"/>
      <c r="G1101" s="5"/>
      <c r="H1101" s="4"/>
      <c r="I1101" s="4"/>
    </row>
    <row r="1102" spans="2:10" x14ac:dyDescent="0.2">
      <c r="B1102">
        <v>173</v>
      </c>
      <c r="C1102" t="s">
        <v>931</v>
      </c>
      <c r="D1102" t="s">
        <v>2073</v>
      </c>
      <c r="E1102" s="5">
        <v>0</v>
      </c>
      <c r="F1102" s="5">
        <v>5.8000000000000003E-2</v>
      </c>
      <c r="G1102" s="5">
        <v>-1.0999999999999999E-2</v>
      </c>
      <c r="H1102" t="s">
        <v>2074</v>
      </c>
      <c r="I1102" t="s">
        <v>2075</v>
      </c>
      <c r="J1102" t="s">
        <v>933</v>
      </c>
    </row>
    <row r="1103" spans="2:10" x14ac:dyDescent="0.2">
      <c r="C1103" t="s">
        <v>932</v>
      </c>
      <c r="D1103" s="6"/>
      <c r="E1103" s="5"/>
      <c r="F1103" s="5"/>
      <c r="G1103" s="5"/>
      <c r="H1103" s="4"/>
      <c r="I1103" s="4"/>
    </row>
    <row r="1104" spans="2:10" x14ac:dyDescent="0.2">
      <c r="B1104">
        <v>175</v>
      </c>
      <c r="C1104" t="s">
        <v>901</v>
      </c>
      <c r="D1104" t="s">
        <v>2076</v>
      </c>
      <c r="E1104" s="5">
        <v>6.0000000000000001E-3</v>
      </c>
      <c r="F1104" s="5">
        <v>2E-3</v>
      </c>
      <c r="G1104" s="5">
        <v>-0.112</v>
      </c>
      <c r="H1104" t="s">
        <v>2077</v>
      </c>
      <c r="I1104" t="s">
        <v>1509</v>
      </c>
      <c r="J1104" t="s">
        <v>903</v>
      </c>
    </row>
    <row r="1105" spans="2:10" x14ac:dyDescent="0.2">
      <c r="C1105" t="s">
        <v>902</v>
      </c>
      <c r="D1105" s="6"/>
      <c r="E1105" s="5"/>
      <c r="F1105" s="5"/>
      <c r="G1105" s="5"/>
      <c r="H1105" s="4"/>
      <c r="I1105" s="4"/>
    </row>
    <row r="1106" spans="2:10" x14ac:dyDescent="0.2">
      <c r="B1106">
        <v>176</v>
      </c>
      <c r="C1106" t="s">
        <v>952</v>
      </c>
      <c r="D1106" t="s">
        <v>2078</v>
      </c>
      <c r="E1106" s="5">
        <v>-2E-3</v>
      </c>
      <c r="F1106" s="5">
        <v>-7.0000000000000001E-3</v>
      </c>
      <c r="G1106" s="5">
        <v>2.9000000000000001E-2</v>
      </c>
      <c r="H1106" t="s">
        <v>2079</v>
      </c>
      <c r="I1106" t="s">
        <v>1511</v>
      </c>
      <c r="J1106" t="s">
        <v>954</v>
      </c>
    </row>
    <row r="1107" spans="2:10" x14ac:dyDescent="0.2">
      <c r="C1107" t="s">
        <v>953</v>
      </c>
      <c r="D1107" s="6"/>
      <c r="E1107" s="5"/>
      <c r="F1107" s="5"/>
      <c r="G1107" s="5"/>
      <c r="H1107" s="4"/>
      <c r="I1107" s="4"/>
    </row>
    <row r="1108" spans="2:10" x14ac:dyDescent="0.2">
      <c r="B1108">
        <v>174</v>
      </c>
      <c r="C1108" t="s">
        <v>880</v>
      </c>
      <c r="D1108" t="s">
        <v>2080</v>
      </c>
      <c r="E1108" s="5">
        <v>-2.3E-2</v>
      </c>
      <c r="F1108" s="5">
        <v>1.2999999999999999E-2</v>
      </c>
      <c r="G1108" s="5">
        <v>2.1000000000000001E-2</v>
      </c>
      <c r="H1108" t="s">
        <v>2081</v>
      </c>
      <c r="I1108" t="s">
        <v>2082</v>
      </c>
      <c r="J1108" t="s">
        <v>882</v>
      </c>
    </row>
    <row r="1109" spans="2:10" x14ac:dyDescent="0.2">
      <c r="C1109" t="s">
        <v>881</v>
      </c>
      <c r="D1109" s="6"/>
      <c r="E1109" s="5"/>
      <c r="F1109" s="5"/>
      <c r="G1109" s="5"/>
      <c r="H1109" s="4"/>
      <c r="I1109" s="4"/>
    </row>
    <row r="1110" spans="2:10" x14ac:dyDescent="0.2">
      <c r="B1110">
        <v>177</v>
      </c>
      <c r="C1110" t="s">
        <v>913</v>
      </c>
      <c r="D1110" t="s">
        <v>2083</v>
      </c>
      <c r="E1110" s="5">
        <v>5.0000000000000001E-3</v>
      </c>
      <c r="F1110" s="5">
        <v>0.05</v>
      </c>
      <c r="G1110" s="5">
        <v>1.6E-2</v>
      </c>
      <c r="H1110" t="s">
        <v>2084</v>
      </c>
      <c r="I1110" t="s">
        <v>1512</v>
      </c>
      <c r="J1110" t="s">
        <v>915</v>
      </c>
    </row>
    <row r="1111" spans="2:10" x14ac:dyDescent="0.2">
      <c r="C1111" t="s">
        <v>914</v>
      </c>
      <c r="D1111" s="6"/>
      <c r="E1111" s="5"/>
      <c r="F1111" s="5"/>
      <c r="G1111" s="5"/>
      <c r="H1111" s="4"/>
      <c r="I1111" s="4"/>
    </row>
    <row r="1112" spans="2:10" x14ac:dyDescent="0.2">
      <c r="B1112">
        <v>180</v>
      </c>
      <c r="C1112" t="s">
        <v>886</v>
      </c>
      <c r="D1112" t="s">
        <v>2085</v>
      </c>
      <c r="E1112" s="5">
        <v>0</v>
      </c>
      <c r="F1112" s="5">
        <v>-4.1000000000000002E-2</v>
      </c>
      <c r="G1112" s="5">
        <v>3.0000000000000001E-3</v>
      </c>
      <c r="H1112" t="s">
        <v>2086</v>
      </c>
      <c r="I1112" t="s">
        <v>2087</v>
      </c>
      <c r="J1112" t="s">
        <v>888</v>
      </c>
    </row>
    <row r="1113" spans="2:10" x14ac:dyDescent="0.2">
      <c r="C1113" t="s">
        <v>887</v>
      </c>
      <c r="D1113" s="6"/>
      <c r="E1113" s="5"/>
      <c r="F1113" s="5"/>
      <c r="G1113" s="5"/>
      <c r="H1113" s="4"/>
      <c r="I1113" s="4"/>
    </row>
    <row r="1114" spans="2:10" x14ac:dyDescent="0.2">
      <c r="B1114">
        <v>178</v>
      </c>
      <c r="C1114" t="s">
        <v>889</v>
      </c>
      <c r="D1114" t="s">
        <v>2088</v>
      </c>
      <c r="E1114" s="5">
        <v>1.0999999999999999E-2</v>
      </c>
      <c r="F1114" s="5">
        <v>0.02</v>
      </c>
      <c r="G1114" s="5">
        <v>-6.9000000000000006E-2</v>
      </c>
      <c r="H1114" t="s">
        <v>2089</v>
      </c>
      <c r="I1114" t="s">
        <v>1513</v>
      </c>
      <c r="J1114" t="s">
        <v>891</v>
      </c>
    </row>
    <row r="1115" spans="2:10" x14ac:dyDescent="0.2">
      <c r="C1115" t="s">
        <v>890</v>
      </c>
      <c r="D1115" s="6"/>
      <c r="E1115" s="5"/>
      <c r="F1115" s="5"/>
      <c r="G1115" s="5"/>
      <c r="H1115" s="4"/>
      <c r="I1115" s="4"/>
    </row>
    <row r="1116" spans="2:10" x14ac:dyDescent="0.2">
      <c r="B1116">
        <v>179</v>
      </c>
      <c r="C1116" t="s">
        <v>976</v>
      </c>
      <c r="D1116" t="s">
        <v>2090</v>
      </c>
      <c r="E1116" s="5">
        <v>-3.0000000000000001E-3</v>
      </c>
      <c r="F1116" s="5">
        <v>2.7E-2</v>
      </c>
      <c r="G1116" s="5">
        <v>-0.04</v>
      </c>
      <c r="H1116" t="s">
        <v>2091</v>
      </c>
      <c r="I1116" t="s">
        <v>1514</v>
      </c>
      <c r="J1116" t="s">
        <v>978</v>
      </c>
    </row>
    <row r="1117" spans="2:10" x14ac:dyDescent="0.2">
      <c r="C1117" t="s">
        <v>977</v>
      </c>
      <c r="D1117" s="6"/>
      <c r="E1117" s="5"/>
      <c r="F1117" s="5"/>
      <c r="G1117" s="5"/>
      <c r="H1117" s="4"/>
      <c r="I1117" s="4"/>
    </row>
    <row r="1118" spans="2:10" x14ac:dyDescent="0.2">
      <c r="B1118">
        <v>181</v>
      </c>
      <c r="C1118" t="s">
        <v>984</v>
      </c>
      <c r="D1118" t="s">
        <v>2092</v>
      </c>
      <c r="E1118" s="5">
        <v>-4.0000000000000001E-3</v>
      </c>
      <c r="F1118" s="5">
        <v>-0.14799999999999999</v>
      </c>
      <c r="G1118" s="5">
        <v>-0.11600000000000001</v>
      </c>
      <c r="H1118" t="s">
        <v>2093</v>
      </c>
      <c r="I1118" t="s">
        <v>2094</v>
      </c>
      <c r="J1118" t="s">
        <v>986</v>
      </c>
    </row>
    <row r="1119" spans="2:10" x14ac:dyDescent="0.2">
      <c r="C1119" t="s">
        <v>985</v>
      </c>
      <c r="D1119" s="6"/>
      <c r="E1119" s="5"/>
      <c r="F1119" s="5"/>
      <c r="G1119" s="5"/>
      <c r="H1119" s="4"/>
      <c r="I1119" s="4"/>
    </row>
    <row r="1120" spans="2:10" x14ac:dyDescent="0.2">
      <c r="B1120">
        <v>182</v>
      </c>
      <c r="C1120" t="s">
        <v>1018</v>
      </c>
      <c r="D1120" t="s">
        <v>2095</v>
      </c>
      <c r="E1120" s="5">
        <v>-4.0000000000000001E-3</v>
      </c>
      <c r="F1120" s="5">
        <v>-3.7999999999999999E-2</v>
      </c>
      <c r="G1120" s="5">
        <v>0.27400000000000002</v>
      </c>
      <c r="H1120" t="s">
        <v>2096</v>
      </c>
      <c r="I1120" t="s">
        <v>1515</v>
      </c>
      <c r="J1120" t="s">
        <v>1020</v>
      </c>
    </row>
    <row r="1121" spans="2:10" x14ac:dyDescent="0.2">
      <c r="C1121" t="s">
        <v>1019</v>
      </c>
      <c r="D1121" s="6"/>
      <c r="E1121" s="5"/>
      <c r="F1121" s="5"/>
      <c r="G1121" s="5"/>
      <c r="H1121" s="4"/>
      <c r="I1121" s="4"/>
    </row>
    <row r="1122" spans="2:10" x14ac:dyDescent="0.2">
      <c r="B1122">
        <v>183</v>
      </c>
      <c r="C1122" t="s">
        <v>892</v>
      </c>
      <c r="D1122" t="s">
        <v>2097</v>
      </c>
      <c r="E1122" s="5">
        <v>-0.01</v>
      </c>
      <c r="F1122" s="5">
        <v>0.02</v>
      </c>
      <c r="G1122" s="5">
        <v>4.7E-2</v>
      </c>
      <c r="H1122" t="s">
        <v>2098</v>
      </c>
      <c r="I1122" t="s">
        <v>1516</v>
      </c>
      <c r="J1122" t="s">
        <v>894</v>
      </c>
    </row>
    <row r="1123" spans="2:10" x14ac:dyDescent="0.2">
      <c r="C1123" t="s">
        <v>893</v>
      </c>
      <c r="D1123" s="6"/>
      <c r="E1123" s="5"/>
      <c r="F1123" s="5"/>
      <c r="G1123" s="5"/>
      <c r="H1123" s="4"/>
      <c r="I1123" s="4"/>
    </row>
    <row r="1124" spans="2:10" x14ac:dyDescent="0.2">
      <c r="B1124">
        <v>184</v>
      </c>
      <c r="C1124" t="s">
        <v>1077</v>
      </c>
      <c r="D1124" t="s">
        <v>1704</v>
      </c>
      <c r="E1124" s="5">
        <v>0</v>
      </c>
      <c r="F1124" s="5">
        <v>-8.9999999999999993E-3</v>
      </c>
      <c r="G1124" s="5">
        <v>6.8000000000000005E-2</v>
      </c>
      <c r="H1124" t="s">
        <v>2099</v>
      </c>
      <c r="I1124" t="s">
        <v>1517</v>
      </c>
      <c r="J1124" t="s">
        <v>1079</v>
      </c>
    </row>
    <row r="1125" spans="2:10" x14ac:dyDescent="0.2">
      <c r="C1125" t="s">
        <v>1078</v>
      </c>
      <c r="D1125" s="6"/>
      <c r="E1125" s="5"/>
      <c r="F1125" s="5"/>
      <c r="G1125" s="5"/>
      <c r="H1125" s="4"/>
      <c r="I1125" s="4"/>
    </row>
    <row r="1126" spans="2:10" x14ac:dyDescent="0.2">
      <c r="B1126">
        <v>185</v>
      </c>
      <c r="C1126" t="s">
        <v>1071</v>
      </c>
      <c r="D1126" t="s">
        <v>1705</v>
      </c>
      <c r="E1126" s="5">
        <v>-0.01</v>
      </c>
      <c r="F1126" s="5">
        <v>-1.4999999999999999E-2</v>
      </c>
      <c r="G1126" s="5">
        <v>0.215</v>
      </c>
      <c r="H1126" t="s">
        <v>1706</v>
      </c>
      <c r="I1126" t="s">
        <v>1518</v>
      </c>
      <c r="J1126" t="s">
        <v>1073</v>
      </c>
    </row>
    <row r="1127" spans="2:10" x14ac:dyDescent="0.2">
      <c r="C1127" t="s">
        <v>1072</v>
      </c>
      <c r="D1127" s="6"/>
      <c r="E1127" s="5"/>
      <c r="F1127" s="5"/>
      <c r="G1127" s="5"/>
      <c r="H1127" s="4"/>
      <c r="I1127" s="4"/>
    </row>
    <row r="1128" spans="2:10" x14ac:dyDescent="0.2">
      <c r="B1128">
        <v>186</v>
      </c>
      <c r="C1128" t="s">
        <v>1009</v>
      </c>
      <c r="D1128" t="s">
        <v>2100</v>
      </c>
      <c r="E1128" s="5">
        <v>4.0000000000000001E-3</v>
      </c>
      <c r="F1128" s="5">
        <v>-3.0000000000000001E-3</v>
      </c>
      <c r="G1128" s="5">
        <v>-1.7000000000000001E-2</v>
      </c>
      <c r="H1128" t="s">
        <v>2101</v>
      </c>
      <c r="I1128" t="s">
        <v>1519</v>
      </c>
      <c r="J1128" t="s">
        <v>1011</v>
      </c>
    </row>
    <row r="1129" spans="2:10" x14ac:dyDescent="0.2">
      <c r="C1129" t="s">
        <v>1010</v>
      </c>
      <c r="D1129" s="6"/>
      <c r="E1129" s="5"/>
      <c r="F1129" s="5"/>
      <c r="G1129" s="5"/>
      <c r="H1129" s="4"/>
      <c r="I1129" s="4"/>
    </row>
    <row r="1130" spans="2:10" x14ac:dyDescent="0.2">
      <c r="B1130">
        <v>187</v>
      </c>
      <c r="C1130" t="s">
        <v>1000</v>
      </c>
      <c r="D1130" t="s">
        <v>2102</v>
      </c>
      <c r="E1130" s="5">
        <v>-3.0000000000000001E-3</v>
      </c>
      <c r="F1130" s="5">
        <v>-5.0999999999999997E-2</v>
      </c>
      <c r="G1130" s="5">
        <v>-0.159</v>
      </c>
      <c r="H1130" t="s">
        <v>2103</v>
      </c>
      <c r="I1130" t="s">
        <v>1520</v>
      </c>
      <c r="J1130" t="s">
        <v>1002</v>
      </c>
    </row>
    <row r="1131" spans="2:10" x14ac:dyDescent="0.2">
      <c r="C1131" t="s">
        <v>1001</v>
      </c>
      <c r="D1131" s="6"/>
      <c r="E1131" s="5"/>
      <c r="F1131" s="5"/>
      <c r="G1131" s="5"/>
      <c r="H1131" s="4"/>
      <c r="I1131" s="4"/>
    </row>
    <row r="1132" spans="2:10" x14ac:dyDescent="0.2">
      <c r="B1132">
        <v>188</v>
      </c>
      <c r="C1132" t="s">
        <v>925</v>
      </c>
      <c r="D1132" t="s">
        <v>965</v>
      </c>
      <c r="E1132" s="5">
        <v>1E-3</v>
      </c>
      <c r="F1132" s="5">
        <v>1E-3</v>
      </c>
      <c r="G1132" s="5">
        <v>7.0000000000000001E-3</v>
      </c>
      <c r="H1132" t="s">
        <v>2104</v>
      </c>
      <c r="I1132" t="s">
        <v>2105</v>
      </c>
      <c r="J1132" t="s">
        <v>927</v>
      </c>
    </row>
    <row r="1133" spans="2:10" x14ac:dyDescent="0.2">
      <c r="C1133" t="s">
        <v>926</v>
      </c>
      <c r="D1133" s="6"/>
      <c r="E1133" s="5"/>
      <c r="F1133" s="5"/>
      <c r="G1133" s="5"/>
      <c r="H1133" s="4"/>
      <c r="I1133" s="4"/>
    </row>
    <row r="1134" spans="2:10" x14ac:dyDescent="0.2">
      <c r="B1134">
        <v>189</v>
      </c>
      <c r="C1134" t="s">
        <v>1074</v>
      </c>
      <c r="D1134" t="s">
        <v>1612</v>
      </c>
      <c r="E1134" s="5">
        <v>-3.0000000000000001E-3</v>
      </c>
      <c r="F1134" s="5">
        <v>-3.1E-2</v>
      </c>
      <c r="G1134" s="5">
        <v>0.16400000000000001</v>
      </c>
      <c r="H1134" t="s">
        <v>2106</v>
      </c>
      <c r="I1134" t="s">
        <v>1521</v>
      </c>
      <c r="J1134" t="s">
        <v>1076</v>
      </c>
    </row>
    <row r="1135" spans="2:10" x14ac:dyDescent="0.2">
      <c r="C1135" t="s">
        <v>1075</v>
      </c>
      <c r="D1135" s="6"/>
      <c r="E1135" s="5"/>
      <c r="F1135" s="5"/>
      <c r="G1135" s="5"/>
      <c r="H1135" s="4"/>
      <c r="I1135" s="4"/>
    </row>
    <row r="1136" spans="2:10" x14ac:dyDescent="0.2">
      <c r="B1136">
        <v>192</v>
      </c>
      <c r="C1136" t="s">
        <v>883</v>
      </c>
      <c r="D1136" t="s">
        <v>1600</v>
      </c>
      <c r="E1136" s="5">
        <v>7.0000000000000001E-3</v>
      </c>
      <c r="F1136" s="5">
        <v>1.4E-2</v>
      </c>
      <c r="G1136" s="5">
        <v>-4.3999999999999997E-2</v>
      </c>
      <c r="H1136" t="s">
        <v>2107</v>
      </c>
      <c r="I1136" t="s">
        <v>2108</v>
      </c>
      <c r="J1136" t="s">
        <v>885</v>
      </c>
    </row>
    <row r="1137" spans="2:10" x14ac:dyDescent="0.2">
      <c r="C1137" t="s">
        <v>884</v>
      </c>
      <c r="D1137" s="6"/>
      <c r="E1137" s="5"/>
      <c r="F1137" s="5"/>
      <c r="G1137" s="5"/>
      <c r="H1137" s="4"/>
      <c r="I1137" s="4"/>
    </row>
    <row r="1138" spans="2:10" x14ac:dyDescent="0.2">
      <c r="B1138">
        <v>190</v>
      </c>
      <c r="C1138" t="s">
        <v>895</v>
      </c>
      <c r="D1138" t="s">
        <v>2109</v>
      </c>
      <c r="E1138" s="5">
        <v>3.0000000000000001E-3</v>
      </c>
      <c r="F1138" s="5">
        <v>-1E-3</v>
      </c>
      <c r="G1138" s="5">
        <v>-2.1999999999999999E-2</v>
      </c>
      <c r="H1138" t="s">
        <v>2110</v>
      </c>
      <c r="I1138" t="s">
        <v>2111</v>
      </c>
      <c r="J1138" t="s">
        <v>897</v>
      </c>
    </row>
    <row r="1139" spans="2:10" x14ac:dyDescent="0.2">
      <c r="C1139" t="s">
        <v>896</v>
      </c>
      <c r="D1139" s="6"/>
      <c r="E1139" s="5"/>
      <c r="F1139" s="5"/>
      <c r="G1139" s="5"/>
      <c r="H1139" s="4"/>
      <c r="I1139" s="4"/>
    </row>
    <row r="1140" spans="2:10" x14ac:dyDescent="0.2">
      <c r="B1140">
        <v>191</v>
      </c>
      <c r="C1140" t="s">
        <v>907</v>
      </c>
      <c r="D1140" t="s">
        <v>2112</v>
      </c>
      <c r="E1140" s="5">
        <v>1E-3</v>
      </c>
      <c r="F1140" s="5">
        <v>-2.4E-2</v>
      </c>
      <c r="G1140" s="5">
        <v>-4.3999999999999997E-2</v>
      </c>
      <c r="H1140" t="s">
        <v>2113</v>
      </c>
      <c r="I1140" t="s">
        <v>2114</v>
      </c>
      <c r="J1140" t="s">
        <v>909</v>
      </c>
    </row>
    <row r="1141" spans="2:10" x14ac:dyDescent="0.2">
      <c r="C1141" t="s">
        <v>908</v>
      </c>
      <c r="D1141" s="6"/>
      <c r="E1141" s="5"/>
      <c r="F1141" s="5"/>
      <c r="G1141" s="5"/>
      <c r="H1141" s="4"/>
      <c r="I1141" s="4"/>
    </row>
    <row r="1142" spans="2:10" x14ac:dyDescent="0.2">
      <c r="B1142">
        <v>193</v>
      </c>
      <c r="C1142" t="s">
        <v>1097</v>
      </c>
      <c r="D1142" t="s">
        <v>1510</v>
      </c>
      <c r="E1142" s="5">
        <v>-7.0000000000000001E-3</v>
      </c>
      <c r="F1142" s="5">
        <v>-4.0000000000000001E-3</v>
      </c>
      <c r="G1142" s="5">
        <v>-7.9000000000000001E-2</v>
      </c>
      <c r="H1142" t="s">
        <v>2115</v>
      </c>
      <c r="I1142" t="s">
        <v>1099</v>
      </c>
      <c r="J1142" t="s">
        <v>1100</v>
      </c>
    </row>
    <row r="1143" spans="2:10" x14ac:dyDescent="0.2">
      <c r="C1143" t="s">
        <v>1098</v>
      </c>
      <c r="D1143" s="6"/>
      <c r="E1143" s="5"/>
      <c r="F1143" s="5"/>
      <c r="G1143" s="5"/>
      <c r="H1143" s="4"/>
      <c r="I1143" s="4"/>
    </row>
    <row r="1144" spans="2:10" x14ac:dyDescent="0.2">
      <c r="B1144">
        <v>194</v>
      </c>
      <c r="C1144" t="s">
        <v>1027</v>
      </c>
      <c r="D1144" t="s">
        <v>2116</v>
      </c>
      <c r="E1144" s="5">
        <v>-5.0000000000000001E-3</v>
      </c>
      <c r="F1144" s="5">
        <v>-1.4999999999999999E-2</v>
      </c>
      <c r="G1144" s="5">
        <v>0.122</v>
      </c>
      <c r="H1144" t="s">
        <v>2117</v>
      </c>
      <c r="I1144" t="s">
        <v>1522</v>
      </c>
      <c r="J1144" t="s">
        <v>1029</v>
      </c>
    </row>
    <row r="1145" spans="2:10" x14ac:dyDescent="0.2">
      <c r="C1145" t="s">
        <v>1028</v>
      </c>
      <c r="D1145" s="6"/>
      <c r="E1145" s="5"/>
      <c r="F1145" s="5"/>
      <c r="G1145" s="5"/>
      <c r="H1145" s="4"/>
      <c r="I1145" s="4"/>
    </row>
    <row r="1146" spans="2:10" x14ac:dyDescent="0.2">
      <c r="B1146">
        <v>195</v>
      </c>
      <c r="C1146" t="s">
        <v>1003</v>
      </c>
      <c r="D1146" t="s">
        <v>2118</v>
      </c>
      <c r="E1146" s="5">
        <v>-1E-3</v>
      </c>
      <c r="F1146" s="5">
        <v>0.04</v>
      </c>
      <c r="G1146" s="5">
        <v>-0.14000000000000001</v>
      </c>
      <c r="H1146" t="s">
        <v>2119</v>
      </c>
      <c r="I1146" t="s">
        <v>2120</v>
      </c>
      <c r="J1146" t="s">
        <v>1005</v>
      </c>
    </row>
    <row r="1147" spans="2:10" x14ac:dyDescent="0.2">
      <c r="C1147" t="s">
        <v>1004</v>
      </c>
      <c r="D1147" s="6"/>
      <c r="E1147" s="5"/>
      <c r="F1147" s="5"/>
      <c r="G1147" s="5"/>
      <c r="H1147" s="4"/>
      <c r="I1147" s="4"/>
    </row>
    <row r="1148" spans="2:10" x14ac:dyDescent="0.2">
      <c r="B1148">
        <v>196</v>
      </c>
      <c r="C1148" t="s">
        <v>1068</v>
      </c>
      <c r="D1148" t="s">
        <v>1647</v>
      </c>
      <c r="E1148" s="5">
        <v>-2.5000000000000001E-2</v>
      </c>
      <c r="F1148" s="5">
        <v>-0.16900000000000001</v>
      </c>
      <c r="G1148" s="5">
        <v>7.1999999999999995E-2</v>
      </c>
      <c r="H1148" t="s">
        <v>2121</v>
      </c>
      <c r="I1148" t="s">
        <v>1523</v>
      </c>
      <c r="J1148" t="s">
        <v>1070</v>
      </c>
    </row>
    <row r="1149" spans="2:10" x14ac:dyDescent="0.2">
      <c r="C1149" t="s">
        <v>1069</v>
      </c>
      <c r="D1149" s="6"/>
      <c r="E1149" s="5"/>
      <c r="F1149" s="5"/>
      <c r="G1149" s="5"/>
      <c r="H1149" s="4"/>
      <c r="I1149" s="4"/>
    </row>
    <row r="1150" spans="2:10" x14ac:dyDescent="0.2">
      <c r="B1150">
        <v>198</v>
      </c>
      <c r="C1150" t="s">
        <v>1024</v>
      </c>
      <c r="D1150" t="s">
        <v>1707</v>
      </c>
      <c r="E1150" s="5">
        <v>-1.0999999999999999E-2</v>
      </c>
      <c r="F1150" s="5">
        <v>-9.0999999999999998E-2</v>
      </c>
      <c r="G1150" s="5">
        <v>9.4E-2</v>
      </c>
      <c r="H1150" t="s">
        <v>1708</v>
      </c>
      <c r="I1150" t="s">
        <v>1524</v>
      </c>
      <c r="J1150" t="s">
        <v>1026</v>
      </c>
    </row>
    <row r="1151" spans="2:10" x14ac:dyDescent="0.2">
      <c r="C1151" t="s">
        <v>1025</v>
      </c>
      <c r="D1151" s="6"/>
      <c r="E1151" s="5"/>
      <c r="F1151" s="5"/>
      <c r="G1151" s="5"/>
      <c r="H1151" s="4"/>
      <c r="I1151" s="4"/>
    </row>
    <row r="1152" spans="2:10" x14ac:dyDescent="0.2">
      <c r="B1152">
        <v>197</v>
      </c>
      <c r="C1152" t="s">
        <v>993</v>
      </c>
      <c r="D1152" t="s">
        <v>2122</v>
      </c>
      <c r="E1152" s="5">
        <v>-1.4E-2</v>
      </c>
      <c r="F1152" s="5">
        <v>-1.6E-2</v>
      </c>
      <c r="G1152" s="5">
        <v>-3.1E-2</v>
      </c>
      <c r="H1152" t="s">
        <v>2123</v>
      </c>
      <c r="I1152" t="s">
        <v>2124</v>
      </c>
      <c r="J1152" t="s">
        <v>995</v>
      </c>
    </row>
    <row r="1153" spans="1:10" x14ac:dyDescent="0.2">
      <c r="C1153" t="s">
        <v>994</v>
      </c>
      <c r="E1153" s="5"/>
      <c r="F1153" s="5"/>
      <c r="G1153" s="5"/>
    </row>
    <row r="1154" spans="1:10" x14ac:dyDescent="0.2">
      <c r="B1154">
        <v>199</v>
      </c>
      <c r="C1154" t="s">
        <v>1080</v>
      </c>
      <c r="D1154" t="s">
        <v>2125</v>
      </c>
      <c r="E1154" s="5">
        <v>-1.2E-2</v>
      </c>
      <c r="F1154" s="5">
        <v>-2.5000000000000001E-2</v>
      </c>
      <c r="G1154" s="5">
        <v>-8.0000000000000002E-3</v>
      </c>
      <c r="H1154" t="s">
        <v>2126</v>
      </c>
      <c r="I1154" t="s">
        <v>2127</v>
      </c>
      <c r="J1154" t="s">
        <v>1082</v>
      </c>
    </row>
    <row r="1155" spans="1:10" x14ac:dyDescent="0.2">
      <c r="C1155" t="s">
        <v>1081</v>
      </c>
      <c r="E1155" s="5"/>
      <c r="F1155" s="5"/>
      <c r="G1155" s="5"/>
    </row>
    <row r="1156" spans="1:10" x14ac:dyDescent="0.2">
      <c r="B1156">
        <v>200</v>
      </c>
      <c r="C1156" t="s">
        <v>1104</v>
      </c>
      <c r="D1156" t="s">
        <v>1648</v>
      </c>
      <c r="E1156" s="5">
        <v>1E-3</v>
      </c>
      <c r="F1156" s="5">
        <v>-8.0000000000000002E-3</v>
      </c>
      <c r="G1156" s="5">
        <v>-6.4000000000000001E-2</v>
      </c>
      <c r="H1156" t="s">
        <v>2128</v>
      </c>
      <c r="I1156" t="s">
        <v>1525</v>
      </c>
      <c r="J1156" t="s">
        <v>1106</v>
      </c>
    </row>
    <row r="1157" spans="1:10" x14ac:dyDescent="0.2">
      <c r="C1157" t="s">
        <v>1105</v>
      </c>
      <c r="E1157" s="5"/>
      <c r="F1157" s="5"/>
      <c r="G1157" s="5"/>
    </row>
    <row r="1159" spans="1:10" x14ac:dyDescent="0.2">
      <c r="A1159" t="s">
        <v>697</v>
      </c>
    </row>
    <row r="1160" spans="1:10" x14ac:dyDescent="0.2">
      <c r="A1160">
        <v>1</v>
      </c>
    </row>
    <row r="1161" spans="1:10" x14ac:dyDescent="0.2">
      <c r="A1161">
        <v>2</v>
      </c>
    </row>
    <row r="1162" spans="1:10" x14ac:dyDescent="0.2">
      <c r="A1162">
        <v>3</v>
      </c>
    </row>
    <row r="1163" spans="1:10" x14ac:dyDescent="0.2">
      <c r="A1163">
        <v>4</v>
      </c>
    </row>
    <row r="1164" spans="1:10" x14ac:dyDescent="0.2">
      <c r="A1164">
        <v>5</v>
      </c>
    </row>
    <row r="1165" spans="1:10" x14ac:dyDescent="0.2">
      <c r="A1165">
        <v>6</v>
      </c>
    </row>
    <row r="1166" spans="1:10" x14ac:dyDescent="0.2">
      <c r="A1166" s="7" t="s">
        <v>698</v>
      </c>
    </row>
    <row r="1167" spans="1:10" x14ac:dyDescent="0.2">
      <c r="A1167" s="7">
        <v>95</v>
      </c>
    </row>
    <row r="1168" spans="1:10" x14ac:dyDescent="0.2">
      <c r="A1168" s="7" t="s">
        <v>699</v>
      </c>
    </row>
    <row r="1169" spans="1:1" x14ac:dyDescent="0.2">
      <c r="A1169" s="7"/>
    </row>
    <row r="1170" spans="1:1" x14ac:dyDescent="0.2">
      <c r="A1170" s="7" t="s">
        <v>700</v>
      </c>
    </row>
    <row r="1171" spans="1:1" x14ac:dyDescent="0.2">
      <c r="A1171" s="7">
        <v>44228</v>
      </c>
    </row>
    <row r="1172" spans="1:1" x14ac:dyDescent="0.2">
      <c r="A1172" s="7" t="s">
        <v>1034</v>
      </c>
    </row>
    <row r="1173" spans="1:1" x14ac:dyDescent="0.2">
      <c r="A1173" t="s">
        <v>1630</v>
      </c>
    </row>
    <row r="1174" spans="1:1" x14ac:dyDescent="0.2">
      <c r="A1174" t="s">
        <v>1396</v>
      </c>
    </row>
    <row r="1175" spans="1:1" x14ac:dyDescent="0.2">
      <c r="A1175" t="s">
        <v>1631</v>
      </c>
    </row>
    <row r="1176" spans="1:1" x14ac:dyDescent="0.2">
      <c r="A1176" t="s">
        <v>1397</v>
      </c>
    </row>
    <row r="1177" spans="1:1" x14ac:dyDescent="0.2">
      <c r="A1177" t="s">
        <v>1632</v>
      </c>
    </row>
    <row r="1178" spans="1:1" x14ac:dyDescent="0.2">
      <c r="A1178" t="s">
        <v>966</v>
      </c>
    </row>
    <row r="1179" spans="1:1" x14ac:dyDescent="0.2">
      <c r="A1179" t="s">
        <v>1633</v>
      </c>
    </row>
    <row r="1180" spans="1:1" x14ac:dyDescent="0.2">
      <c r="A1180" t="s">
        <v>1399</v>
      </c>
    </row>
    <row r="1181" spans="1:1" x14ac:dyDescent="0.2">
      <c r="A1181" t="s">
        <v>1634</v>
      </c>
    </row>
    <row r="1182" spans="1:1" x14ac:dyDescent="0.2">
      <c r="A1182" t="s">
        <v>1398</v>
      </c>
    </row>
    <row r="1183" spans="1:1" x14ac:dyDescent="0.2">
      <c r="A1183" t="s">
        <v>1635</v>
      </c>
    </row>
    <row r="1184" spans="1:1" x14ac:dyDescent="0.2">
      <c r="A1184" t="s">
        <v>96</v>
      </c>
    </row>
    <row r="1185" spans="1:1" x14ac:dyDescent="0.2">
      <c r="A1185" t="s">
        <v>1636</v>
      </c>
    </row>
    <row r="1186" spans="1:1" x14ac:dyDescent="0.2">
      <c r="A1186" t="s">
        <v>701</v>
      </c>
    </row>
    <row r="1187" spans="1:1" x14ac:dyDescent="0.2">
      <c r="A1187" t="s">
        <v>701</v>
      </c>
    </row>
    <row r="1188" spans="1:1" x14ac:dyDescent="0.2">
      <c r="A1188" t="s">
        <v>702</v>
      </c>
    </row>
    <row r="1189" spans="1:1" x14ac:dyDescent="0.2">
      <c r="A1189" t="s">
        <v>703</v>
      </c>
    </row>
    <row r="1191" spans="1:1" x14ac:dyDescent="0.2">
      <c r="A1191" t="s">
        <v>704</v>
      </c>
    </row>
    <row r="1193" spans="1:1" x14ac:dyDescent="0.2">
      <c r="A1193" t="s">
        <v>705</v>
      </c>
    </row>
    <row r="1195" spans="1:1" x14ac:dyDescent="0.2">
      <c r="A1195" t="s">
        <v>706</v>
      </c>
    </row>
    <row r="1197" spans="1:1" x14ac:dyDescent="0.2">
      <c r="A1197" t="s">
        <v>707</v>
      </c>
    </row>
    <row r="1199" spans="1:1" x14ac:dyDescent="0.2">
      <c r="A1199" t="s">
        <v>708</v>
      </c>
    </row>
    <row r="1201" spans="1:1" x14ac:dyDescent="0.2">
      <c r="A1201" t="s">
        <v>709</v>
      </c>
    </row>
    <row r="1203" spans="1:1" x14ac:dyDescent="0.2">
      <c r="A1203" t="s">
        <v>710</v>
      </c>
    </row>
    <row r="1205" spans="1:1" x14ac:dyDescent="0.2">
      <c r="A1205" t="s">
        <v>711</v>
      </c>
    </row>
    <row r="1206" spans="1:1" x14ac:dyDescent="0.2">
      <c r="A1206" t="s">
        <v>712</v>
      </c>
    </row>
    <row r="1207" spans="1:1" x14ac:dyDescent="0.2">
      <c r="A1207" t="s">
        <v>713</v>
      </c>
    </row>
    <row r="1208" spans="1:1" x14ac:dyDescent="0.2">
      <c r="A1208" t="s">
        <v>714</v>
      </c>
    </row>
    <row r="1209" spans="1:1" x14ac:dyDescent="0.2">
      <c r="A1209" t="s">
        <v>715</v>
      </c>
    </row>
    <row r="1210" spans="1:1" x14ac:dyDescent="0.2">
      <c r="A1210" t="s">
        <v>716</v>
      </c>
    </row>
    <row r="1213" spans="1:1" x14ac:dyDescent="0.2">
      <c r="A1213" t="s">
        <v>717</v>
      </c>
    </row>
    <row r="1214" spans="1:1" x14ac:dyDescent="0.2">
      <c r="A1214" t="s">
        <v>718</v>
      </c>
    </row>
    <row r="1215" spans="1:1" x14ac:dyDescent="0.2">
      <c r="A1215" t="s">
        <v>719</v>
      </c>
    </row>
    <row r="1216" spans="1:1" x14ac:dyDescent="0.2">
      <c r="A1216" t="s">
        <v>712</v>
      </c>
    </row>
    <row r="1217" spans="1:1" x14ac:dyDescent="0.2">
      <c r="A1217" t="s">
        <v>720</v>
      </c>
    </row>
    <row r="1218" spans="1:1" x14ac:dyDescent="0.2">
      <c r="A1218" t="s">
        <v>721</v>
      </c>
    </row>
    <row r="1219" spans="1:1" x14ac:dyDescent="0.2">
      <c r="A1219" t="s">
        <v>722</v>
      </c>
    </row>
    <row r="1220" spans="1:1" x14ac:dyDescent="0.2">
      <c r="A1220" t="s">
        <v>712</v>
      </c>
    </row>
    <row r="1221" spans="1:1" x14ac:dyDescent="0.2">
      <c r="A1221" t="s">
        <v>720</v>
      </c>
    </row>
    <row r="1224" spans="1:1" x14ac:dyDescent="0.2">
      <c r="A1224" t="s">
        <v>723</v>
      </c>
    </row>
    <row r="1225" spans="1:1" x14ac:dyDescent="0.2">
      <c r="A1225" t="s">
        <v>712</v>
      </c>
    </row>
    <row r="1226" spans="1:1" x14ac:dyDescent="0.2">
      <c r="A1226" t="s">
        <v>991</v>
      </c>
    </row>
    <row r="1228" spans="1:1" x14ac:dyDescent="0.2">
      <c r="A1228" t="s">
        <v>724</v>
      </c>
    </row>
    <row r="1230" spans="1:1" x14ac:dyDescent="0.2">
      <c r="A1230" t="s">
        <v>725</v>
      </c>
    </row>
    <row r="1231" spans="1:1" x14ac:dyDescent="0.2">
      <c r="A1231" t="s">
        <v>726</v>
      </c>
    </row>
    <row r="1232" spans="1:1" x14ac:dyDescent="0.2">
      <c r="A1232" t="s">
        <v>727</v>
      </c>
    </row>
    <row r="1235" spans="1:1" x14ac:dyDescent="0.2">
      <c r="A1235" t="s">
        <v>728</v>
      </c>
    </row>
    <row r="1237" spans="1:1" x14ac:dyDescent="0.2">
      <c r="A1237" t="s">
        <v>729</v>
      </c>
    </row>
    <row r="1238" spans="1:1" x14ac:dyDescent="0.2">
      <c r="A1238" t="s">
        <v>1035</v>
      </c>
    </row>
    <row r="1239" spans="1:1" x14ac:dyDescent="0.2">
      <c r="A1239" t="s">
        <v>1036</v>
      </c>
    </row>
    <row r="1240" spans="1:1" x14ac:dyDescent="0.2">
      <c r="A1240" t="s">
        <v>1037</v>
      </c>
    </row>
    <row r="1241" spans="1:1" x14ac:dyDescent="0.2">
      <c r="A1241" t="s">
        <v>730</v>
      </c>
    </row>
    <row r="1242" spans="1:1" x14ac:dyDescent="0.2">
      <c r="A1242" t="s">
        <v>1038</v>
      </c>
    </row>
    <row r="1243" spans="1:1" x14ac:dyDescent="0.2">
      <c r="A1243" t="s">
        <v>1039</v>
      </c>
    </row>
    <row r="1244" spans="1:1" x14ac:dyDescent="0.2">
      <c r="A1244" t="s">
        <v>1040</v>
      </c>
    </row>
    <row r="1245" spans="1:1" x14ac:dyDescent="0.2">
      <c r="A1245" t="s">
        <v>1041</v>
      </c>
    </row>
    <row r="1246" spans="1:1" x14ac:dyDescent="0.2">
      <c r="A1246" t="s">
        <v>1042</v>
      </c>
    </row>
    <row r="1247" spans="1:1" x14ac:dyDescent="0.2">
      <c r="A1247" t="s">
        <v>1043</v>
      </c>
    </row>
    <row r="1248" spans="1:1" x14ac:dyDescent="0.2">
      <c r="A1248" t="s">
        <v>1044</v>
      </c>
    </row>
    <row r="1249" spans="1:1" x14ac:dyDescent="0.2">
      <c r="A1249" t="s">
        <v>1045</v>
      </c>
    </row>
    <row r="1250" spans="1:1" x14ac:dyDescent="0.2">
      <c r="A1250" t="s">
        <v>1046</v>
      </c>
    </row>
    <row r="1251" spans="1:1" x14ac:dyDescent="0.2">
      <c r="A1251" t="s">
        <v>1047</v>
      </c>
    </row>
    <row r="1252" spans="1:1" x14ac:dyDescent="0.2">
      <c r="A1252" t="s">
        <v>1048</v>
      </c>
    </row>
    <row r="1253" spans="1:1" x14ac:dyDescent="0.2">
      <c r="A1253" t="s">
        <v>731</v>
      </c>
    </row>
    <row r="1254" spans="1:1" x14ac:dyDescent="0.2">
      <c r="A1254" t="s">
        <v>1049</v>
      </c>
    </row>
    <row r="1255" spans="1:1" x14ac:dyDescent="0.2">
      <c r="A1255" t="s">
        <v>732</v>
      </c>
    </row>
    <row r="1256" spans="1:1" x14ac:dyDescent="0.2">
      <c r="A1256" t="s">
        <v>733</v>
      </c>
    </row>
    <row r="1259" spans="1:1" x14ac:dyDescent="0.2">
      <c r="A1259" t="s">
        <v>734</v>
      </c>
    </row>
    <row r="1260" spans="1:1" x14ac:dyDescent="0.2">
      <c r="A1260" t="s">
        <v>1050</v>
      </c>
    </row>
    <row r="1261" spans="1:1" x14ac:dyDescent="0.2">
      <c r="A1261" t="s">
        <v>735</v>
      </c>
    </row>
    <row r="1262" spans="1:1" x14ac:dyDescent="0.2">
      <c r="A1262" t="s">
        <v>736</v>
      </c>
    </row>
    <row r="1265" spans="1:1" x14ac:dyDescent="0.2">
      <c r="A1265" t="s">
        <v>734</v>
      </c>
    </row>
    <row r="1266" spans="1:1" x14ac:dyDescent="0.2">
      <c r="A1266" t="s">
        <v>232</v>
      </c>
    </row>
    <row r="1267" spans="1:1" x14ac:dyDescent="0.2">
      <c r="A1267" t="s">
        <v>1051</v>
      </c>
    </row>
    <row r="1268" spans="1:1" x14ac:dyDescent="0.2">
      <c r="A1268" t="s">
        <v>1052</v>
      </c>
    </row>
    <row r="1269" spans="1:1" x14ac:dyDescent="0.2">
      <c r="A1269" t="s">
        <v>1053</v>
      </c>
    </row>
    <row r="1270" spans="1:1" x14ac:dyDescent="0.2">
      <c r="A1270" t="s">
        <v>1054</v>
      </c>
    </row>
    <row r="1271" spans="1:1" x14ac:dyDescent="0.2">
      <c r="A1271" t="s">
        <v>1055</v>
      </c>
    </row>
    <row r="1272" spans="1:1" x14ac:dyDescent="0.2">
      <c r="A1272" t="s">
        <v>1056</v>
      </c>
    </row>
    <row r="1273" spans="1:1" x14ac:dyDescent="0.2">
      <c r="A1273" t="s">
        <v>1057</v>
      </c>
    </row>
    <row r="1274" spans="1:1" x14ac:dyDescent="0.2">
      <c r="A1274" t="s">
        <v>1058</v>
      </c>
    </row>
    <row r="1275" spans="1:1" x14ac:dyDescent="0.2">
      <c r="A1275" t="s">
        <v>737</v>
      </c>
    </row>
    <row r="1276" spans="1:1" x14ac:dyDescent="0.2">
      <c r="A1276" t="s">
        <v>738</v>
      </c>
    </row>
    <row r="1277" spans="1:1" x14ac:dyDescent="0.2">
      <c r="A1277" t="s">
        <v>739</v>
      </c>
    </row>
    <row r="1278" spans="1:1" x14ac:dyDescent="0.2">
      <c r="A1278" t="s">
        <v>740</v>
      </c>
    </row>
    <row r="1279" spans="1:1" x14ac:dyDescent="0.2">
      <c r="A1279" t="s">
        <v>741</v>
      </c>
    </row>
    <row r="1280" spans="1:1" x14ac:dyDescent="0.2">
      <c r="A1280" t="s">
        <v>730</v>
      </c>
    </row>
    <row r="1281" spans="1:1" x14ac:dyDescent="0.2">
      <c r="A1281" t="s">
        <v>742</v>
      </c>
    </row>
    <row r="1282" spans="1:1" x14ac:dyDescent="0.2">
      <c r="A1282" t="s">
        <v>743</v>
      </c>
    </row>
    <row r="1283" spans="1:1" x14ac:dyDescent="0.2">
      <c r="A1283" t="s">
        <v>744</v>
      </c>
    </row>
    <row r="1284" spans="1:1" x14ac:dyDescent="0.2">
      <c r="A1284" t="s">
        <v>742</v>
      </c>
    </row>
    <row r="1285" spans="1:1" x14ac:dyDescent="0.2">
      <c r="A1285" t="s">
        <v>745</v>
      </c>
    </row>
    <row r="1286" spans="1:1" x14ac:dyDescent="0.2">
      <c r="A1286" t="s">
        <v>744</v>
      </c>
    </row>
    <row r="1287" spans="1:1" x14ac:dyDescent="0.2">
      <c r="A1287" t="s">
        <v>746</v>
      </c>
    </row>
    <row r="1288" spans="1:1" x14ac:dyDescent="0.2">
      <c r="A1288" t="s">
        <v>747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5CD6-2CD1-5447-A831-FF24F0D4C559}">
  <sheetPr codeName="Sheet6"/>
  <dimension ref="A1:J1289"/>
  <sheetViews>
    <sheetView topLeftCell="A946" workbookViewId="0">
      <selection activeCell="D954" sqref="D954"/>
    </sheetView>
  </sheetViews>
  <sheetFormatPr baseColWidth="10" defaultRowHeight="16" x14ac:dyDescent="0.2"/>
  <cols>
    <col min="1" max="1" width="6.1640625" bestFit="1" customWidth="1"/>
    <col min="2" max="2" width="3.6640625" bestFit="1" customWidth="1"/>
    <col min="3" max="3" width="26.83203125" bestFit="1" customWidth="1"/>
    <col min="4" max="4" width="13.33203125" bestFit="1" customWidth="1"/>
    <col min="5" max="7" width="11.6640625" customWidth="1"/>
    <col min="8" max="9" width="25.83203125" customWidth="1"/>
    <col min="10" max="10" width="22.5" customWidth="1"/>
  </cols>
  <sheetData>
    <row r="1" spans="1:1" x14ac:dyDescent="0.2">
      <c r="A1" s="13" t="s">
        <v>10</v>
      </c>
    </row>
    <row r="2" spans="1:1" x14ac:dyDescent="0.2">
      <c r="A2" s="13" t="s">
        <v>11</v>
      </c>
    </row>
    <row r="3" spans="1:1" x14ac:dyDescent="0.2">
      <c r="A3" s="13" t="s">
        <v>12</v>
      </c>
    </row>
    <row r="4" spans="1:1" x14ac:dyDescent="0.2">
      <c r="A4" s="13" t="s">
        <v>13</v>
      </c>
    </row>
    <row r="5" spans="1:1" x14ac:dyDescent="0.2">
      <c r="A5" s="14" t="s">
        <v>14</v>
      </c>
    </row>
    <row r="6" spans="1:1" x14ac:dyDescent="0.2">
      <c r="A6" s="14" t="s">
        <v>15</v>
      </c>
    </row>
    <row r="7" spans="1:1" x14ac:dyDescent="0.2">
      <c r="A7" s="13" t="s">
        <v>1088</v>
      </c>
    </row>
    <row r="8" spans="1:1" x14ac:dyDescent="0.2">
      <c r="A8" s="13" t="s">
        <v>17</v>
      </c>
    </row>
    <row r="9" spans="1:1" x14ac:dyDescent="0.2">
      <c r="A9" s="14" t="s">
        <v>18</v>
      </c>
    </row>
    <row r="10" spans="1:1" x14ac:dyDescent="0.2">
      <c r="A10" s="14" t="s">
        <v>19</v>
      </c>
    </row>
    <row r="11" spans="1:1" x14ac:dyDescent="0.2">
      <c r="A11" s="14" t="s">
        <v>20</v>
      </c>
    </row>
    <row r="12" spans="1:1" x14ac:dyDescent="0.2">
      <c r="A12" s="14" t="s">
        <v>21</v>
      </c>
    </row>
    <row r="13" spans="1:1" x14ac:dyDescent="0.2">
      <c r="A13" s="14" t="s">
        <v>22</v>
      </c>
    </row>
    <row r="14" spans="1:1" x14ac:dyDescent="0.2">
      <c r="A14" s="13" t="s">
        <v>23</v>
      </c>
    </row>
    <row r="15" spans="1:1" x14ac:dyDescent="0.2">
      <c r="A15" s="13" t="s">
        <v>24</v>
      </c>
    </row>
    <row r="16" spans="1:1" x14ac:dyDescent="0.2">
      <c r="A16" s="13" t="s">
        <v>25</v>
      </c>
    </row>
    <row r="17" spans="1:1" x14ac:dyDescent="0.2">
      <c r="A17" s="13" t="s">
        <v>26</v>
      </c>
    </row>
    <row r="18" spans="1:1" x14ac:dyDescent="0.2">
      <c r="A18" s="13" t="s">
        <v>27</v>
      </c>
    </row>
    <row r="19" spans="1:1" x14ac:dyDescent="0.2">
      <c r="A19" s="14" t="s">
        <v>28</v>
      </c>
    </row>
    <row r="20" spans="1:1" x14ac:dyDescent="0.2">
      <c r="A20" s="13" t="s">
        <v>29</v>
      </c>
    </row>
    <row r="21" spans="1:1" x14ac:dyDescent="0.2">
      <c r="A21" s="14" t="s">
        <v>26</v>
      </c>
    </row>
    <row r="22" spans="1:1" x14ac:dyDescent="0.2">
      <c r="A22" s="14" t="s">
        <v>30</v>
      </c>
    </row>
    <row r="23" spans="1:1" x14ac:dyDescent="0.2">
      <c r="A23" s="14" t="s">
        <v>31</v>
      </c>
    </row>
    <row r="24" spans="1:1" x14ac:dyDescent="0.2">
      <c r="A24" s="13" t="s">
        <v>32</v>
      </c>
    </row>
    <row r="25" spans="1:1" x14ac:dyDescent="0.2">
      <c r="A25" s="14" t="s">
        <v>33</v>
      </c>
    </row>
    <row r="26" spans="1:1" x14ac:dyDescent="0.2">
      <c r="A26" s="14" t="s">
        <v>34</v>
      </c>
    </row>
    <row r="27" spans="1:1" x14ac:dyDescent="0.2">
      <c r="A27" s="13" t="s">
        <v>35</v>
      </c>
    </row>
    <row r="28" spans="1:1" x14ac:dyDescent="0.2">
      <c r="A28" s="13" t="s">
        <v>36</v>
      </c>
    </row>
    <row r="29" spans="1:1" x14ac:dyDescent="0.2">
      <c r="A29" s="13" t="s">
        <v>37</v>
      </c>
    </row>
    <row r="30" spans="1:1" x14ac:dyDescent="0.2">
      <c r="A30" s="13" t="s">
        <v>38</v>
      </c>
    </row>
    <row r="31" spans="1:1" x14ac:dyDescent="0.2">
      <c r="A31" s="13" t="s">
        <v>39</v>
      </c>
    </row>
    <row r="32" spans="1:1" x14ac:dyDescent="0.2">
      <c r="A32" s="13" t="s">
        <v>40</v>
      </c>
    </row>
    <row r="33" spans="1:1" x14ac:dyDescent="0.2">
      <c r="A33" s="14" t="s">
        <v>41</v>
      </c>
    </row>
    <row r="34" spans="1:1" x14ac:dyDescent="0.2">
      <c r="A34" s="13" t="s">
        <v>42</v>
      </c>
    </row>
    <row r="35" spans="1:1" x14ac:dyDescent="0.2">
      <c r="A35" s="13" t="s">
        <v>43</v>
      </c>
    </row>
    <row r="36" spans="1:1" x14ac:dyDescent="0.2">
      <c r="A36" s="14" t="s">
        <v>44</v>
      </c>
    </row>
    <row r="37" spans="1:1" x14ac:dyDescent="0.2">
      <c r="A37" s="13" t="s">
        <v>45</v>
      </c>
    </row>
    <row r="38" spans="1:1" x14ac:dyDescent="0.2">
      <c r="A38" s="13" t="s">
        <v>46</v>
      </c>
    </row>
    <row r="39" spans="1:1" x14ac:dyDescent="0.2">
      <c r="A39" s="13" t="s">
        <v>47</v>
      </c>
    </row>
    <row r="40" spans="1:1" x14ac:dyDescent="0.2">
      <c r="A40" s="13" t="s">
        <v>48</v>
      </c>
    </row>
    <row r="41" spans="1:1" x14ac:dyDescent="0.2">
      <c r="A41" s="14" t="s">
        <v>49</v>
      </c>
    </row>
    <row r="42" spans="1:1" x14ac:dyDescent="0.2">
      <c r="A42" s="13" t="s">
        <v>50</v>
      </c>
    </row>
    <row r="43" spans="1:1" x14ac:dyDescent="0.2">
      <c r="A43" s="14" t="s">
        <v>51</v>
      </c>
    </row>
    <row r="44" spans="1:1" x14ac:dyDescent="0.2">
      <c r="A44" s="13" t="s">
        <v>52</v>
      </c>
    </row>
    <row r="45" spans="1:1" x14ac:dyDescent="0.2">
      <c r="A45" s="13" t="s">
        <v>53</v>
      </c>
    </row>
    <row r="46" spans="1:1" x14ac:dyDescent="0.2">
      <c r="A46" s="13" t="s">
        <v>54</v>
      </c>
    </row>
    <row r="47" spans="1:1" x14ac:dyDescent="0.2">
      <c r="A47" s="14" t="s">
        <v>55</v>
      </c>
    </row>
    <row r="48" spans="1:1" x14ac:dyDescent="0.2">
      <c r="A48" s="14" t="s">
        <v>56</v>
      </c>
    </row>
    <row r="49" spans="1:1" x14ac:dyDescent="0.2">
      <c r="A49" s="14" t="s">
        <v>57</v>
      </c>
    </row>
    <row r="50" spans="1:1" x14ac:dyDescent="0.2">
      <c r="A50" s="14" t="s">
        <v>58</v>
      </c>
    </row>
    <row r="51" spans="1:1" x14ac:dyDescent="0.2">
      <c r="A51" s="14" t="s">
        <v>59</v>
      </c>
    </row>
    <row r="52" spans="1:1" x14ac:dyDescent="0.2">
      <c r="A52" s="14" t="s">
        <v>60</v>
      </c>
    </row>
    <row r="53" spans="1:1" x14ac:dyDescent="0.2">
      <c r="A53" s="14" t="s">
        <v>61</v>
      </c>
    </row>
    <row r="54" spans="1:1" x14ac:dyDescent="0.2">
      <c r="A54" s="14" t="s">
        <v>62</v>
      </c>
    </row>
    <row r="55" spans="1:1" x14ac:dyDescent="0.2">
      <c r="A55" s="14" t="s">
        <v>63</v>
      </c>
    </row>
    <row r="56" spans="1:1" x14ac:dyDescent="0.2">
      <c r="A56" s="14" t="s">
        <v>64</v>
      </c>
    </row>
    <row r="57" spans="1:1" x14ac:dyDescent="0.2">
      <c r="A57" s="14" t="s">
        <v>10</v>
      </c>
    </row>
    <row r="58" spans="1:1" x14ac:dyDescent="0.2">
      <c r="A58" s="13" t="s">
        <v>11</v>
      </c>
    </row>
    <row r="59" spans="1:1" x14ac:dyDescent="0.2">
      <c r="A59" s="14" t="s">
        <v>65</v>
      </c>
    </row>
    <row r="60" spans="1:1" x14ac:dyDescent="0.2">
      <c r="A60" s="14" t="s">
        <v>66</v>
      </c>
    </row>
    <row r="61" spans="1:1" x14ac:dyDescent="0.2">
      <c r="A61" s="14" t="s">
        <v>67</v>
      </c>
    </row>
    <row r="62" spans="1:1" x14ac:dyDescent="0.2">
      <c r="A62" s="14" t="s">
        <v>68</v>
      </c>
    </row>
    <row r="63" spans="1:1" x14ac:dyDescent="0.2">
      <c r="A63" s="14" t="s">
        <v>69</v>
      </c>
    </row>
    <row r="64" spans="1:1" x14ac:dyDescent="0.2">
      <c r="A64" s="14" t="s">
        <v>70</v>
      </c>
    </row>
    <row r="65" spans="1:1" x14ac:dyDescent="0.2">
      <c r="A65" s="14" t="s">
        <v>71</v>
      </c>
    </row>
    <row r="66" spans="1:1" x14ac:dyDescent="0.2">
      <c r="A66" s="14" t="s">
        <v>72</v>
      </c>
    </row>
    <row r="67" spans="1:1" x14ac:dyDescent="0.2">
      <c r="A67" s="14" t="s">
        <v>73</v>
      </c>
    </row>
    <row r="68" spans="1:1" x14ac:dyDescent="0.2">
      <c r="A68" s="14" t="s">
        <v>74</v>
      </c>
    </row>
    <row r="69" spans="1:1" x14ac:dyDescent="0.2">
      <c r="A69" s="14" t="s">
        <v>75</v>
      </c>
    </row>
    <row r="70" spans="1:1" x14ac:dyDescent="0.2">
      <c r="A70" s="14" t="s">
        <v>76</v>
      </c>
    </row>
    <row r="71" spans="1:1" x14ac:dyDescent="0.2">
      <c r="A71" s="14" t="s">
        <v>77</v>
      </c>
    </row>
    <row r="72" spans="1:1" x14ac:dyDescent="0.2">
      <c r="A72" s="14" t="s">
        <v>78</v>
      </c>
    </row>
    <row r="73" spans="1:1" x14ac:dyDescent="0.2">
      <c r="A73" s="14" t="s">
        <v>79</v>
      </c>
    </row>
    <row r="74" spans="1:1" x14ac:dyDescent="0.2">
      <c r="A74" s="14" t="s">
        <v>80</v>
      </c>
    </row>
    <row r="75" spans="1:1" x14ac:dyDescent="0.2">
      <c r="A75" s="14" t="s">
        <v>81</v>
      </c>
    </row>
    <row r="76" spans="1:1" x14ac:dyDescent="0.2">
      <c r="A76" s="14" t="s">
        <v>82</v>
      </c>
    </row>
    <row r="77" spans="1:1" x14ac:dyDescent="0.2">
      <c r="A77" s="14" t="s">
        <v>83</v>
      </c>
    </row>
    <row r="78" spans="1:1" x14ac:dyDescent="0.2">
      <c r="A78" s="14" t="s">
        <v>84</v>
      </c>
    </row>
    <row r="79" spans="1:1" x14ac:dyDescent="0.2">
      <c r="A79" s="14" t="s">
        <v>85</v>
      </c>
    </row>
    <row r="80" spans="1:1" x14ac:dyDescent="0.2">
      <c r="A80" s="14" t="s">
        <v>86</v>
      </c>
    </row>
    <row r="81" spans="1:1" x14ac:dyDescent="0.2">
      <c r="A81" s="13" t="s">
        <v>87</v>
      </c>
    </row>
    <row r="82" spans="1:1" x14ac:dyDescent="0.2">
      <c r="A82" s="13" t="s">
        <v>88</v>
      </c>
    </row>
    <row r="83" spans="1:1" x14ac:dyDescent="0.2">
      <c r="A83" s="15"/>
    </row>
    <row r="84" spans="1:1" x14ac:dyDescent="0.2">
      <c r="A84" s="13" t="s">
        <v>89</v>
      </c>
    </row>
    <row r="85" spans="1:1" x14ac:dyDescent="0.2">
      <c r="A85" s="13" t="s">
        <v>90</v>
      </c>
    </row>
    <row r="86" spans="1:1" x14ac:dyDescent="0.2">
      <c r="A86" s="15"/>
    </row>
    <row r="87" spans="1:1" x14ac:dyDescent="0.2">
      <c r="A87" s="13" t="s">
        <v>6</v>
      </c>
    </row>
    <row r="88" spans="1:1" x14ac:dyDescent="0.2">
      <c r="A88" s="13" t="s">
        <v>91</v>
      </c>
    </row>
    <row r="89" spans="1:1" x14ac:dyDescent="0.2">
      <c r="A89" s="15"/>
    </row>
    <row r="90" spans="1:1" x14ac:dyDescent="0.2">
      <c r="A90" s="13" t="s">
        <v>92</v>
      </c>
    </row>
    <row r="91" spans="1:1" x14ac:dyDescent="0.2">
      <c r="A91" s="13" t="s">
        <v>93</v>
      </c>
    </row>
    <row r="92" spans="1:1" x14ac:dyDescent="0.2">
      <c r="A92" s="15"/>
    </row>
    <row r="93" spans="1:1" x14ac:dyDescent="0.2">
      <c r="A93" s="13" t="s">
        <v>94</v>
      </c>
    </row>
    <row r="94" spans="1:1" x14ac:dyDescent="0.2">
      <c r="A94" s="13" t="s">
        <v>95</v>
      </c>
    </row>
    <row r="95" spans="1:1" x14ac:dyDescent="0.2">
      <c r="A95" s="15"/>
    </row>
    <row r="96" spans="1:1" x14ac:dyDescent="0.2">
      <c r="A96" s="13" t="s">
        <v>7</v>
      </c>
    </row>
    <row r="97" spans="1:1" x14ac:dyDescent="0.2">
      <c r="A97" s="13" t="s">
        <v>96</v>
      </c>
    </row>
    <row r="98" spans="1:1" x14ac:dyDescent="0.2">
      <c r="A98" s="15"/>
    </row>
    <row r="99" spans="1:1" x14ac:dyDescent="0.2">
      <c r="A99" s="13" t="s">
        <v>97</v>
      </c>
    </row>
    <row r="100" spans="1:1" x14ac:dyDescent="0.2">
      <c r="A100" s="13" t="s">
        <v>97</v>
      </c>
    </row>
    <row r="101" spans="1:1" x14ac:dyDescent="0.2">
      <c r="A101" s="15"/>
    </row>
    <row r="102" spans="1:1" x14ac:dyDescent="0.2">
      <c r="A102" s="13" t="s">
        <v>98</v>
      </c>
    </row>
    <row r="103" spans="1:1" x14ac:dyDescent="0.2">
      <c r="A103" s="13" t="s">
        <v>98</v>
      </c>
    </row>
    <row r="104" spans="1:1" x14ac:dyDescent="0.2">
      <c r="A104" s="15"/>
    </row>
    <row r="105" spans="1:1" x14ac:dyDescent="0.2">
      <c r="A105" s="13" t="s">
        <v>99</v>
      </c>
    </row>
    <row r="106" spans="1:1" x14ac:dyDescent="0.2">
      <c r="A106" s="13" t="s">
        <v>100</v>
      </c>
    </row>
    <row r="107" spans="1:1" x14ac:dyDescent="0.2">
      <c r="A107" s="15"/>
    </row>
    <row r="108" spans="1:1" x14ac:dyDescent="0.2">
      <c r="A108" s="13" t="s">
        <v>101</v>
      </c>
    </row>
    <row r="109" spans="1:1" x14ac:dyDescent="0.2">
      <c r="A109" s="13" t="s">
        <v>102</v>
      </c>
    </row>
    <row r="110" spans="1:1" x14ac:dyDescent="0.2">
      <c r="A110" s="15"/>
    </row>
    <row r="111" spans="1:1" x14ac:dyDescent="0.2">
      <c r="A111" s="13" t="s">
        <v>3</v>
      </c>
    </row>
    <row r="112" spans="1:1" x14ac:dyDescent="0.2">
      <c r="A112" s="13" t="s">
        <v>103</v>
      </c>
    </row>
    <row r="113" spans="1:1" x14ac:dyDescent="0.2">
      <c r="A113" s="15"/>
    </row>
    <row r="114" spans="1:1" x14ac:dyDescent="0.2">
      <c r="A114" s="13" t="s">
        <v>104</v>
      </c>
    </row>
    <row r="115" spans="1:1" x14ac:dyDescent="0.2">
      <c r="A115" s="13" t="s">
        <v>105</v>
      </c>
    </row>
    <row r="117" spans="1:1" x14ac:dyDescent="0.2">
      <c r="A117" s="13" t="s">
        <v>106</v>
      </c>
    </row>
    <row r="118" spans="1:1" x14ac:dyDescent="0.2">
      <c r="A118" s="15"/>
    </row>
    <row r="119" spans="1:1" x14ac:dyDescent="0.2">
      <c r="A119" s="13" t="s">
        <v>107</v>
      </c>
    </row>
    <row r="120" spans="1:1" x14ac:dyDescent="0.2">
      <c r="A120" s="13" t="s">
        <v>108</v>
      </c>
    </row>
    <row r="121" spans="1:1" x14ac:dyDescent="0.2">
      <c r="A121" s="15"/>
    </row>
    <row r="122" spans="1:1" x14ac:dyDescent="0.2">
      <c r="A122" s="13" t="s">
        <v>109</v>
      </c>
    </row>
    <row r="123" spans="1:1" x14ac:dyDescent="0.2">
      <c r="A123" s="13" t="s">
        <v>110</v>
      </c>
    </row>
    <row r="125" spans="1:1" x14ac:dyDescent="0.2">
      <c r="A125" s="13" t="s">
        <v>111</v>
      </c>
    </row>
    <row r="126" spans="1:1" x14ac:dyDescent="0.2">
      <c r="A126" s="15"/>
    </row>
    <row r="127" spans="1:1" x14ac:dyDescent="0.2">
      <c r="A127" s="13" t="s">
        <v>112</v>
      </c>
    </row>
    <row r="128" spans="1:1" x14ac:dyDescent="0.2">
      <c r="A128" s="13" t="s">
        <v>113</v>
      </c>
    </row>
    <row r="129" spans="1:1" x14ac:dyDescent="0.2">
      <c r="A129" s="15"/>
    </row>
    <row r="130" spans="1:1" x14ac:dyDescent="0.2">
      <c r="A130" s="13" t="s">
        <v>114</v>
      </c>
    </row>
    <row r="131" spans="1:1" x14ac:dyDescent="0.2">
      <c r="A131" s="13" t="s">
        <v>115</v>
      </c>
    </row>
    <row r="132" spans="1:1" x14ac:dyDescent="0.2">
      <c r="A132" s="15"/>
    </row>
    <row r="133" spans="1:1" x14ac:dyDescent="0.2">
      <c r="A133" s="13" t="s">
        <v>116</v>
      </c>
    </row>
    <row r="134" spans="1:1" x14ac:dyDescent="0.2">
      <c r="A134" s="13" t="s">
        <v>117</v>
      </c>
    </row>
    <row r="135" spans="1:1" x14ac:dyDescent="0.2">
      <c r="A135" s="15"/>
    </row>
    <row r="136" spans="1:1" x14ac:dyDescent="0.2">
      <c r="A136" s="13" t="s">
        <v>118</v>
      </c>
    </row>
    <row r="137" spans="1:1" x14ac:dyDescent="0.2">
      <c r="A137" s="13" t="s">
        <v>119</v>
      </c>
    </row>
    <row r="138" spans="1:1" x14ac:dyDescent="0.2">
      <c r="A138" s="15"/>
    </row>
    <row r="139" spans="1:1" x14ac:dyDescent="0.2">
      <c r="A139" s="13" t="s">
        <v>120</v>
      </c>
    </row>
    <row r="140" spans="1:1" x14ac:dyDescent="0.2">
      <c r="A140" s="13" t="s">
        <v>121</v>
      </c>
    </row>
    <row r="141" spans="1:1" x14ac:dyDescent="0.2">
      <c r="A141" s="15"/>
    </row>
    <row r="142" spans="1:1" x14ac:dyDescent="0.2">
      <c r="A142" s="13" t="s">
        <v>122</v>
      </c>
    </row>
    <row r="143" spans="1:1" x14ac:dyDescent="0.2">
      <c r="A143" s="13" t="s">
        <v>123</v>
      </c>
    </row>
    <row r="144" spans="1:1" x14ac:dyDescent="0.2">
      <c r="A144" s="15"/>
    </row>
    <row r="145" spans="1:1" x14ac:dyDescent="0.2">
      <c r="A145" s="13" t="s">
        <v>124</v>
      </c>
    </row>
    <row r="146" spans="1:1" x14ac:dyDescent="0.2">
      <c r="A146" s="13" t="s">
        <v>125</v>
      </c>
    </row>
    <row r="147" spans="1:1" x14ac:dyDescent="0.2">
      <c r="A147" s="15"/>
    </row>
    <row r="148" spans="1:1" x14ac:dyDescent="0.2">
      <c r="A148" s="13" t="s">
        <v>126</v>
      </c>
    </row>
    <row r="149" spans="1:1" x14ac:dyDescent="0.2">
      <c r="A149" s="13" t="s">
        <v>127</v>
      </c>
    </row>
    <row r="151" spans="1:1" x14ac:dyDescent="0.2">
      <c r="A151" s="13" t="s">
        <v>128</v>
      </c>
    </row>
    <row r="152" spans="1:1" x14ac:dyDescent="0.2">
      <c r="A152" s="15"/>
    </row>
    <row r="153" spans="1:1" x14ac:dyDescent="0.2">
      <c r="A153" s="13" t="s">
        <v>129</v>
      </c>
    </row>
    <row r="154" spans="1:1" x14ac:dyDescent="0.2">
      <c r="A154" s="13" t="s">
        <v>130</v>
      </c>
    </row>
    <row r="155" spans="1:1" x14ac:dyDescent="0.2">
      <c r="A155" s="15"/>
    </row>
    <row r="156" spans="1:1" x14ac:dyDescent="0.2">
      <c r="A156" s="13" t="s">
        <v>131</v>
      </c>
    </row>
    <row r="157" spans="1:1" x14ac:dyDescent="0.2">
      <c r="A157" s="13" t="s">
        <v>132</v>
      </c>
    </row>
    <row r="158" spans="1:1" x14ac:dyDescent="0.2">
      <c r="A158" s="15"/>
    </row>
    <row r="159" spans="1:1" x14ac:dyDescent="0.2">
      <c r="A159" s="13" t="s">
        <v>133</v>
      </c>
    </row>
    <row r="160" spans="1:1" x14ac:dyDescent="0.2">
      <c r="A160" s="13" t="s">
        <v>134</v>
      </c>
    </row>
    <row r="161" spans="1:1" x14ac:dyDescent="0.2">
      <c r="A161" s="15"/>
    </row>
    <row r="162" spans="1:1" x14ac:dyDescent="0.2">
      <c r="A162" s="13" t="s">
        <v>135</v>
      </c>
    </row>
    <row r="163" spans="1:1" x14ac:dyDescent="0.2">
      <c r="A163" s="13" t="s">
        <v>136</v>
      </c>
    </row>
    <row r="164" spans="1:1" x14ac:dyDescent="0.2">
      <c r="A164" s="15"/>
    </row>
    <row r="165" spans="1:1" x14ac:dyDescent="0.2">
      <c r="A165" s="13" t="s">
        <v>137</v>
      </c>
    </row>
    <row r="166" spans="1:1" x14ac:dyDescent="0.2">
      <c r="A166" s="13" t="s">
        <v>138</v>
      </c>
    </row>
    <row r="167" spans="1:1" x14ac:dyDescent="0.2">
      <c r="A167" s="15"/>
    </row>
    <row r="168" spans="1:1" x14ac:dyDescent="0.2">
      <c r="A168" s="13" t="s">
        <v>139</v>
      </c>
    </row>
    <row r="169" spans="1:1" x14ac:dyDescent="0.2">
      <c r="A169" s="13" t="s">
        <v>140</v>
      </c>
    </row>
    <row r="170" spans="1:1" x14ac:dyDescent="0.2">
      <c r="A170" s="15"/>
    </row>
    <row r="171" spans="1:1" x14ac:dyDescent="0.2">
      <c r="A171" s="13" t="s">
        <v>141</v>
      </c>
    </row>
    <row r="172" spans="1:1" x14ac:dyDescent="0.2">
      <c r="A172" s="13" t="s">
        <v>142</v>
      </c>
    </row>
    <row r="173" spans="1:1" x14ac:dyDescent="0.2">
      <c r="A173" s="15"/>
    </row>
    <row r="174" spans="1:1" x14ac:dyDescent="0.2">
      <c r="A174" s="13" t="s">
        <v>143</v>
      </c>
    </row>
    <row r="175" spans="1:1" x14ac:dyDescent="0.2">
      <c r="A175" s="13" t="s">
        <v>144</v>
      </c>
    </row>
    <row r="176" spans="1:1" x14ac:dyDescent="0.2">
      <c r="A176" s="15"/>
    </row>
    <row r="177" spans="1:1" x14ac:dyDescent="0.2">
      <c r="A177" s="13" t="s">
        <v>145</v>
      </c>
    </row>
    <row r="178" spans="1:1" x14ac:dyDescent="0.2">
      <c r="A178" s="13" t="s">
        <v>146</v>
      </c>
    </row>
    <row r="179" spans="1:1" x14ac:dyDescent="0.2">
      <c r="A179" s="15"/>
    </row>
    <row r="180" spans="1:1" x14ac:dyDescent="0.2">
      <c r="A180" s="13" t="s">
        <v>147</v>
      </c>
    </row>
    <row r="181" spans="1:1" x14ac:dyDescent="0.2">
      <c r="A181" s="13" t="s">
        <v>148</v>
      </c>
    </row>
    <row r="182" spans="1:1" x14ac:dyDescent="0.2">
      <c r="A182" s="15"/>
    </row>
    <row r="183" spans="1:1" x14ac:dyDescent="0.2">
      <c r="A183" s="13" t="s">
        <v>149</v>
      </c>
    </row>
    <row r="184" spans="1:1" x14ac:dyDescent="0.2">
      <c r="A184" s="13" t="s">
        <v>150</v>
      </c>
    </row>
    <row r="185" spans="1:1" x14ac:dyDescent="0.2">
      <c r="A185" s="15"/>
    </row>
    <row r="186" spans="1:1" x14ac:dyDescent="0.2">
      <c r="A186" s="13" t="s">
        <v>151</v>
      </c>
    </row>
    <row r="187" spans="1:1" x14ac:dyDescent="0.2">
      <c r="A187" s="13" t="s">
        <v>152</v>
      </c>
    </row>
    <row r="188" spans="1:1" x14ac:dyDescent="0.2">
      <c r="A188" s="15"/>
    </row>
    <row r="189" spans="1:1" x14ac:dyDescent="0.2">
      <c r="A189" s="13" t="s">
        <v>153</v>
      </c>
    </row>
    <row r="190" spans="1:1" x14ac:dyDescent="0.2">
      <c r="A190" s="13" t="s">
        <v>154</v>
      </c>
    </row>
    <row r="191" spans="1:1" x14ac:dyDescent="0.2">
      <c r="A191" s="15"/>
    </row>
    <row r="192" spans="1:1" x14ac:dyDescent="0.2">
      <c r="A192" s="13" t="s">
        <v>155</v>
      </c>
    </row>
    <row r="193" spans="1:1" x14ac:dyDescent="0.2">
      <c r="A193" s="13" t="s">
        <v>156</v>
      </c>
    </row>
    <row r="194" spans="1:1" x14ac:dyDescent="0.2">
      <c r="A194" s="15"/>
    </row>
    <row r="195" spans="1:1" x14ac:dyDescent="0.2">
      <c r="A195" s="13" t="s">
        <v>157</v>
      </c>
    </row>
    <row r="196" spans="1:1" x14ac:dyDescent="0.2">
      <c r="A196" s="13" t="s">
        <v>158</v>
      </c>
    </row>
    <row r="197" spans="1:1" x14ac:dyDescent="0.2">
      <c r="A197" s="15"/>
    </row>
    <row r="198" spans="1:1" x14ac:dyDescent="0.2">
      <c r="A198" s="13" t="s">
        <v>159</v>
      </c>
    </row>
    <row r="199" spans="1:1" x14ac:dyDescent="0.2">
      <c r="A199" s="13" t="s">
        <v>160</v>
      </c>
    </row>
    <row r="200" spans="1:1" x14ac:dyDescent="0.2">
      <c r="A200" s="15"/>
    </row>
    <row r="201" spans="1:1" x14ac:dyDescent="0.2">
      <c r="A201" s="13" t="s">
        <v>161</v>
      </c>
    </row>
    <row r="202" spans="1:1" x14ac:dyDescent="0.2">
      <c r="A202" s="13" t="s">
        <v>162</v>
      </c>
    </row>
    <row r="203" spans="1:1" x14ac:dyDescent="0.2">
      <c r="A203" s="15"/>
    </row>
    <row r="204" spans="1:1" x14ac:dyDescent="0.2">
      <c r="A204" s="13" t="s">
        <v>163</v>
      </c>
    </row>
    <row r="205" spans="1:1" x14ac:dyDescent="0.2">
      <c r="A205" s="13" t="s">
        <v>164</v>
      </c>
    </row>
    <row r="206" spans="1:1" x14ac:dyDescent="0.2">
      <c r="A206" s="15"/>
    </row>
    <row r="207" spans="1:1" x14ac:dyDescent="0.2">
      <c r="A207" s="13" t="s">
        <v>165</v>
      </c>
    </row>
    <row r="208" spans="1:1" x14ac:dyDescent="0.2">
      <c r="A208" s="13" t="s">
        <v>166</v>
      </c>
    </row>
    <row r="209" spans="1:1" x14ac:dyDescent="0.2">
      <c r="A209" s="15"/>
    </row>
    <row r="210" spans="1:1" x14ac:dyDescent="0.2">
      <c r="A210" s="13" t="s">
        <v>167</v>
      </c>
    </row>
    <row r="211" spans="1:1" x14ac:dyDescent="0.2">
      <c r="A211" s="13" t="s">
        <v>168</v>
      </c>
    </row>
    <row r="212" spans="1:1" x14ac:dyDescent="0.2">
      <c r="A212" s="15"/>
    </row>
    <row r="213" spans="1:1" x14ac:dyDescent="0.2">
      <c r="A213" s="13" t="s">
        <v>169</v>
      </c>
    </row>
    <row r="214" spans="1:1" x14ac:dyDescent="0.2">
      <c r="A214" s="13" t="s">
        <v>170</v>
      </c>
    </row>
    <row r="215" spans="1:1" x14ac:dyDescent="0.2">
      <c r="A215" s="15"/>
    </row>
    <row r="216" spans="1:1" x14ac:dyDescent="0.2">
      <c r="A216" s="13" t="s">
        <v>171</v>
      </c>
    </row>
    <row r="217" spans="1:1" x14ac:dyDescent="0.2">
      <c r="A217" s="13" t="s">
        <v>172</v>
      </c>
    </row>
    <row r="218" spans="1:1" x14ac:dyDescent="0.2">
      <c r="A218" s="15"/>
    </row>
    <row r="219" spans="1:1" x14ac:dyDescent="0.2">
      <c r="A219" s="13" t="s">
        <v>173</v>
      </c>
    </row>
    <row r="220" spans="1:1" x14ac:dyDescent="0.2">
      <c r="A220" s="13" t="s">
        <v>174</v>
      </c>
    </row>
    <row r="221" spans="1:1" x14ac:dyDescent="0.2">
      <c r="A221" s="15"/>
    </row>
    <row r="222" spans="1:1" x14ac:dyDescent="0.2">
      <c r="A222" s="13" t="s">
        <v>175</v>
      </c>
    </row>
    <row r="223" spans="1:1" x14ac:dyDescent="0.2">
      <c r="A223" s="13" t="s">
        <v>176</v>
      </c>
    </row>
    <row r="224" spans="1:1" x14ac:dyDescent="0.2">
      <c r="A224" s="15"/>
    </row>
    <row r="225" spans="1:1" x14ac:dyDescent="0.2">
      <c r="A225" s="13" t="s">
        <v>177</v>
      </c>
    </row>
    <row r="226" spans="1:1" x14ac:dyDescent="0.2">
      <c r="A226" s="13" t="s">
        <v>178</v>
      </c>
    </row>
    <row r="227" spans="1:1" x14ac:dyDescent="0.2">
      <c r="A227" s="15"/>
    </row>
    <row r="228" spans="1:1" x14ac:dyDescent="0.2">
      <c r="A228" s="13" t="s">
        <v>179</v>
      </c>
    </row>
    <row r="229" spans="1:1" x14ac:dyDescent="0.2">
      <c r="A229" s="13" t="s">
        <v>180</v>
      </c>
    </row>
    <row r="230" spans="1:1" x14ac:dyDescent="0.2">
      <c r="A230" s="15"/>
    </row>
    <row r="231" spans="1:1" x14ac:dyDescent="0.2">
      <c r="A231" s="13" t="s">
        <v>181</v>
      </c>
    </row>
    <row r="232" spans="1:1" x14ac:dyDescent="0.2">
      <c r="A232" s="13" t="s">
        <v>182</v>
      </c>
    </row>
    <row r="233" spans="1:1" x14ac:dyDescent="0.2">
      <c r="A233" s="15"/>
    </row>
    <row r="234" spans="1:1" x14ac:dyDescent="0.2">
      <c r="A234" s="13" t="s">
        <v>183</v>
      </c>
    </row>
    <row r="235" spans="1:1" x14ac:dyDescent="0.2">
      <c r="A235" s="13" t="s">
        <v>184</v>
      </c>
    </row>
    <row r="236" spans="1:1" x14ac:dyDescent="0.2">
      <c r="A236" s="15"/>
    </row>
    <row r="237" spans="1:1" x14ac:dyDescent="0.2">
      <c r="A237" s="13" t="s">
        <v>185</v>
      </c>
    </row>
    <row r="238" spans="1:1" x14ac:dyDescent="0.2">
      <c r="A238" s="13" t="s">
        <v>186</v>
      </c>
    </row>
    <row r="239" spans="1:1" x14ac:dyDescent="0.2">
      <c r="A239" s="15"/>
    </row>
    <row r="240" spans="1:1" x14ac:dyDescent="0.2">
      <c r="A240" s="13" t="s">
        <v>187</v>
      </c>
    </row>
    <row r="241" spans="1:1" x14ac:dyDescent="0.2">
      <c r="A241" s="13" t="s">
        <v>188</v>
      </c>
    </row>
    <row r="242" spans="1:1" x14ac:dyDescent="0.2">
      <c r="A242" s="15"/>
    </row>
    <row r="243" spans="1:1" x14ac:dyDescent="0.2">
      <c r="A243" s="13" t="s">
        <v>189</v>
      </c>
    </row>
    <row r="244" spans="1:1" x14ac:dyDescent="0.2">
      <c r="A244" s="13" t="s">
        <v>190</v>
      </c>
    </row>
    <row r="245" spans="1:1" x14ac:dyDescent="0.2">
      <c r="A245" s="15"/>
    </row>
    <row r="246" spans="1:1" x14ac:dyDescent="0.2">
      <c r="A246" s="13" t="s">
        <v>191</v>
      </c>
    </row>
    <row r="247" spans="1:1" x14ac:dyDescent="0.2">
      <c r="A247" s="13" t="s">
        <v>192</v>
      </c>
    </row>
    <row r="248" spans="1:1" x14ac:dyDescent="0.2">
      <c r="A248" s="15"/>
    </row>
    <row r="249" spans="1:1" x14ac:dyDescent="0.2">
      <c r="A249" s="13" t="s">
        <v>193</v>
      </c>
    </row>
    <row r="250" spans="1:1" x14ac:dyDescent="0.2">
      <c r="A250" s="13" t="s">
        <v>194</v>
      </c>
    </row>
    <row r="251" spans="1:1" x14ac:dyDescent="0.2">
      <c r="A251" s="15"/>
    </row>
    <row r="252" spans="1:1" x14ac:dyDescent="0.2">
      <c r="A252" s="13" t="s">
        <v>195</v>
      </c>
    </row>
    <row r="253" spans="1:1" x14ac:dyDescent="0.2">
      <c r="A253" s="13" t="s">
        <v>196</v>
      </c>
    </row>
    <row r="254" spans="1:1" x14ac:dyDescent="0.2">
      <c r="A254" s="15"/>
    </row>
    <row r="255" spans="1:1" x14ac:dyDescent="0.2">
      <c r="A255" s="13" t="s">
        <v>197</v>
      </c>
    </row>
    <row r="256" spans="1:1" x14ac:dyDescent="0.2">
      <c r="A256" s="13" t="s">
        <v>198</v>
      </c>
    </row>
    <row r="257" spans="1:1" x14ac:dyDescent="0.2">
      <c r="A257" s="15"/>
    </row>
    <row r="258" spans="1:1" x14ac:dyDescent="0.2">
      <c r="A258" s="13" t="s">
        <v>199</v>
      </c>
    </row>
    <row r="259" spans="1:1" x14ac:dyDescent="0.2">
      <c r="A259" s="13" t="s">
        <v>200</v>
      </c>
    </row>
    <row r="260" spans="1:1" x14ac:dyDescent="0.2">
      <c r="A260" s="15"/>
    </row>
    <row r="261" spans="1:1" x14ac:dyDescent="0.2">
      <c r="A261" s="13" t="s">
        <v>201</v>
      </c>
    </row>
    <row r="262" spans="1:1" x14ac:dyDescent="0.2">
      <c r="A262" s="13" t="s">
        <v>202</v>
      </c>
    </row>
    <row r="263" spans="1:1" x14ac:dyDescent="0.2">
      <c r="A263" s="15"/>
    </row>
    <row r="264" spans="1:1" x14ac:dyDescent="0.2">
      <c r="A264" s="13" t="s">
        <v>203</v>
      </c>
    </row>
    <row r="265" spans="1:1" x14ac:dyDescent="0.2">
      <c r="A265" s="13" t="s">
        <v>204</v>
      </c>
    </row>
    <row r="267" spans="1:1" x14ac:dyDescent="0.2">
      <c r="A267" s="13" t="s">
        <v>205</v>
      </c>
    </row>
    <row r="268" spans="1:1" x14ac:dyDescent="0.2">
      <c r="A268" s="15"/>
    </row>
    <row r="269" spans="1:1" x14ac:dyDescent="0.2">
      <c r="A269" s="13" t="s">
        <v>206</v>
      </c>
    </row>
    <row r="270" spans="1:1" x14ac:dyDescent="0.2">
      <c r="A270" s="13" t="s">
        <v>207</v>
      </c>
    </row>
    <row r="271" spans="1:1" x14ac:dyDescent="0.2">
      <c r="A271" s="15"/>
    </row>
    <row r="272" spans="1:1" x14ac:dyDescent="0.2">
      <c r="A272" s="13" t="s">
        <v>208</v>
      </c>
    </row>
    <row r="273" spans="1:1" x14ac:dyDescent="0.2">
      <c r="A273" s="13" t="s">
        <v>209</v>
      </c>
    </row>
    <row r="275" spans="1:1" x14ac:dyDescent="0.2">
      <c r="A275" s="13" t="s">
        <v>210</v>
      </c>
    </row>
    <row r="276" spans="1:1" x14ac:dyDescent="0.2">
      <c r="A276" s="14" t="s">
        <v>19</v>
      </c>
    </row>
    <row r="277" spans="1:1" x14ac:dyDescent="0.2">
      <c r="A277" s="14" t="s">
        <v>19</v>
      </c>
    </row>
    <row r="278" spans="1:1" x14ac:dyDescent="0.2">
      <c r="A278" s="14" t="s">
        <v>211</v>
      </c>
    </row>
    <row r="279" spans="1:1" x14ac:dyDescent="0.2">
      <c r="A279" s="14" t="s">
        <v>212</v>
      </c>
    </row>
    <row r="280" spans="1:1" x14ac:dyDescent="0.2">
      <c r="A280" s="14" t="s">
        <v>213</v>
      </c>
    </row>
    <row r="281" spans="1:1" x14ac:dyDescent="0.2">
      <c r="A281" s="14" t="s">
        <v>214</v>
      </c>
    </row>
    <row r="282" spans="1:1" x14ac:dyDescent="0.2">
      <c r="A282" s="14" t="s">
        <v>215</v>
      </c>
    </row>
    <row r="283" spans="1:1" x14ac:dyDescent="0.2">
      <c r="A283" s="14" t="s">
        <v>216</v>
      </c>
    </row>
    <row r="284" spans="1:1" x14ac:dyDescent="0.2">
      <c r="A284" s="14" t="s">
        <v>217</v>
      </c>
    </row>
    <row r="285" spans="1:1" x14ac:dyDescent="0.2">
      <c r="A285" s="14" t="s">
        <v>218</v>
      </c>
    </row>
    <row r="286" spans="1:1" x14ac:dyDescent="0.2">
      <c r="A286" s="15"/>
    </row>
    <row r="287" spans="1:1" x14ac:dyDescent="0.2">
      <c r="A287" s="16" t="s">
        <v>219</v>
      </c>
    </row>
    <row r="288" spans="1:1" x14ac:dyDescent="0.2">
      <c r="A288" s="13" t="s">
        <v>1090</v>
      </c>
    </row>
    <row r="289" spans="1:1" x14ac:dyDescent="0.2">
      <c r="A289" s="13" t="s">
        <v>26</v>
      </c>
    </row>
    <row r="290" spans="1:1" x14ac:dyDescent="0.2">
      <c r="A290" s="13" t="s">
        <v>27</v>
      </c>
    </row>
    <row r="291" spans="1:1" x14ac:dyDescent="0.2">
      <c r="A291" s="16" t="s">
        <v>221</v>
      </c>
    </row>
    <row r="292" spans="1:1" x14ac:dyDescent="0.2">
      <c r="A292" s="13" t="s">
        <v>222</v>
      </c>
    </row>
    <row r="293" spans="1:1" x14ac:dyDescent="0.2">
      <c r="A293" s="16" t="s">
        <v>30</v>
      </c>
    </row>
    <row r="294" spans="1:1" x14ac:dyDescent="0.2">
      <c r="A294" s="16" t="s">
        <v>223</v>
      </c>
    </row>
    <row r="295" spans="1:1" x14ac:dyDescent="0.2">
      <c r="A295" s="13" t="s">
        <v>1091</v>
      </c>
    </row>
    <row r="296" spans="1:1" x14ac:dyDescent="0.2">
      <c r="A296" s="16" t="s">
        <v>211</v>
      </c>
    </row>
    <row r="297" spans="1:1" x14ac:dyDescent="0.2">
      <c r="A297" s="16" t="s">
        <v>225</v>
      </c>
    </row>
    <row r="298" spans="1:1" x14ac:dyDescent="0.2">
      <c r="A298" s="13" t="s">
        <v>226</v>
      </c>
    </row>
    <row r="299" spans="1:1" x14ac:dyDescent="0.2">
      <c r="A299" s="13" t="s">
        <v>37</v>
      </c>
    </row>
    <row r="300" spans="1:1" x14ac:dyDescent="0.2">
      <c r="A300" s="13" t="s">
        <v>38</v>
      </c>
    </row>
    <row r="301" spans="1:1" x14ac:dyDescent="0.2">
      <c r="A301" s="13" t="s">
        <v>39</v>
      </c>
    </row>
    <row r="302" spans="1:1" x14ac:dyDescent="0.2">
      <c r="A302" s="13" t="s">
        <v>40</v>
      </c>
    </row>
    <row r="303" spans="1:1" x14ac:dyDescent="0.2">
      <c r="A303" s="16" t="s">
        <v>227</v>
      </c>
    </row>
    <row r="304" spans="1:1" x14ac:dyDescent="0.2">
      <c r="A304" s="13" t="s">
        <v>228</v>
      </c>
    </row>
    <row r="305" spans="1:1" x14ac:dyDescent="0.2">
      <c r="A305" s="13" t="s">
        <v>45</v>
      </c>
    </row>
    <row r="306" spans="1:1" x14ac:dyDescent="0.2">
      <c r="A306" s="13" t="s">
        <v>46</v>
      </c>
    </row>
    <row r="307" spans="1:1" x14ac:dyDescent="0.2">
      <c r="A307" s="13" t="s">
        <v>47</v>
      </c>
    </row>
    <row r="308" spans="1:1" x14ac:dyDescent="0.2">
      <c r="A308" s="13" t="s">
        <v>48</v>
      </c>
    </row>
    <row r="309" spans="1:1" x14ac:dyDescent="0.2">
      <c r="A309" s="16" t="s">
        <v>229</v>
      </c>
    </row>
    <row r="310" spans="1:1" x14ac:dyDescent="0.2">
      <c r="A310" s="13" t="s">
        <v>230</v>
      </c>
    </row>
    <row r="311" spans="1:1" x14ac:dyDescent="0.2">
      <c r="A311" s="13" t="s">
        <v>52</v>
      </c>
    </row>
    <row r="312" spans="1:1" x14ac:dyDescent="0.2">
      <c r="A312" s="13" t="s">
        <v>231</v>
      </c>
    </row>
    <row r="314" spans="1:1" x14ac:dyDescent="0.2">
      <c r="A314" s="14" t="s">
        <v>233</v>
      </c>
    </row>
    <row r="315" spans="1:1" x14ac:dyDescent="0.2">
      <c r="A315" t="s">
        <v>1092</v>
      </c>
    </row>
    <row r="316" spans="1:1" x14ac:dyDescent="0.2">
      <c r="A316" s="13" t="s">
        <v>235</v>
      </c>
    </row>
    <row r="317" spans="1:1" x14ac:dyDescent="0.2">
      <c r="A317" s="13" t="s">
        <v>236</v>
      </c>
    </row>
    <row r="318" spans="1:1" x14ac:dyDescent="0.2">
      <c r="A318" s="13" t="s">
        <v>237</v>
      </c>
    </row>
    <row r="319" spans="1:1" x14ac:dyDescent="0.2">
      <c r="A319" s="13" t="s">
        <v>238</v>
      </c>
    </row>
    <row r="320" spans="1:1" x14ac:dyDescent="0.2">
      <c r="A320" s="13" t="s">
        <v>239</v>
      </c>
    </row>
    <row r="321" spans="1:1" x14ac:dyDescent="0.2">
      <c r="A321" s="13" t="s">
        <v>240</v>
      </c>
    </row>
    <row r="322" spans="1:1" x14ac:dyDescent="0.2">
      <c r="A322" s="13" t="s">
        <v>241</v>
      </c>
    </row>
    <row r="323" spans="1:1" x14ac:dyDescent="0.2">
      <c r="A323" s="14" t="s">
        <v>242</v>
      </c>
    </row>
    <row r="324" spans="1:1" x14ac:dyDescent="0.2">
      <c r="A324" s="14" t="s">
        <v>243</v>
      </c>
    </row>
    <row r="325" spans="1:1" x14ac:dyDescent="0.2">
      <c r="A325" s="14" t="s">
        <v>246</v>
      </c>
    </row>
    <row r="326" spans="1:1" x14ac:dyDescent="0.2">
      <c r="A326" s="14" t="s">
        <v>245</v>
      </c>
    </row>
    <row r="327" spans="1:1" x14ac:dyDescent="0.2">
      <c r="A327" s="14" t="s">
        <v>244</v>
      </c>
    </row>
    <row r="328" spans="1:1" x14ac:dyDescent="0.2">
      <c r="A328" s="14" t="s">
        <v>247</v>
      </c>
    </row>
    <row r="329" spans="1:1" x14ac:dyDescent="0.2">
      <c r="A329" s="14" t="s">
        <v>248</v>
      </c>
    </row>
    <row r="330" spans="1:1" x14ac:dyDescent="0.2">
      <c r="A330" s="14" t="s">
        <v>249</v>
      </c>
    </row>
    <row r="331" spans="1:1" x14ac:dyDescent="0.2">
      <c r="A331" s="14" t="s">
        <v>251</v>
      </c>
    </row>
    <row r="332" spans="1:1" x14ac:dyDescent="0.2">
      <c r="A332" s="14" t="s">
        <v>250</v>
      </c>
    </row>
    <row r="333" spans="1:1" x14ac:dyDescent="0.2">
      <c r="A333" s="14" t="s">
        <v>252</v>
      </c>
    </row>
    <row r="334" spans="1:1" x14ac:dyDescent="0.2">
      <c r="A334" s="14" t="s">
        <v>256</v>
      </c>
    </row>
    <row r="335" spans="1:1" x14ac:dyDescent="0.2">
      <c r="A335" s="14" t="s">
        <v>254</v>
      </c>
    </row>
    <row r="336" spans="1:1" x14ac:dyDescent="0.2">
      <c r="A336" s="14" t="s">
        <v>255</v>
      </c>
    </row>
    <row r="337" spans="1:1" x14ac:dyDescent="0.2">
      <c r="A337" s="14" t="s">
        <v>253</v>
      </c>
    </row>
    <row r="338" spans="1:1" x14ac:dyDescent="0.2">
      <c r="A338" s="14" t="s">
        <v>347</v>
      </c>
    </row>
    <row r="339" spans="1:1" x14ac:dyDescent="0.2">
      <c r="A339" s="14" t="s">
        <v>258</v>
      </c>
    </row>
    <row r="340" spans="1:1" x14ac:dyDescent="0.2">
      <c r="A340" s="14" t="s">
        <v>257</v>
      </c>
    </row>
    <row r="341" spans="1:1" x14ac:dyDescent="0.2">
      <c r="A341" s="14" t="s">
        <v>260</v>
      </c>
    </row>
    <row r="342" spans="1:1" x14ac:dyDescent="0.2">
      <c r="A342" s="14" t="s">
        <v>259</v>
      </c>
    </row>
    <row r="343" spans="1:1" x14ac:dyDescent="0.2">
      <c r="A343" s="14" t="s">
        <v>261</v>
      </c>
    </row>
    <row r="344" spans="1:1" x14ac:dyDescent="0.2">
      <c r="A344" s="14" t="s">
        <v>268</v>
      </c>
    </row>
    <row r="345" spans="1:1" x14ac:dyDescent="0.2">
      <c r="A345" s="14" t="s">
        <v>265</v>
      </c>
    </row>
    <row r="346" spans="1:1" x14ac:dyDescent="0.2">
      <c r="A346" s="14" t="s">
        <v>979</v>
      </c>
    </row>
    <row r="347" spans="1:1" x14ac:dyDescent="0.2">
      <c r="A347" s="14" t="s">
        <v>262</v>
      </c>
    </row>
    <row r="348" spans="1:1" x14ac:dyDescent="0.2">
      <c r="A348" s="14" t="s">
        <v>264</v>
      </c>
    </row>
    <row r="349" spans="1:1" x14ac:dyDescent="0.2">
      <c r="A349" s="14" t="s">
        <v>263</v>
      </c>
    </row>
    <row r="350" spans="1:1" x14ac:dyDescent="0.2">
      <c r="A350" s="14" t="s">
        <v>266</v>
      </c>
    </row>
    <row r="351" spans="1:1" x14ac:dyDescent="0.2">
      <c r="A351" s="14" t="s">
        <v>267</v>
      </c>
    </row>
    <row r="352" spans="1:1" x14ac:dyDescent="0.2">
      <c r="A352" s="14" t="s">
        <v>270</v>
      </c>
    </row>
    <row r="353" spans="1:1" x14ac:dyDescent="0.2">
      <c r="A353" s="14" t="s">
        <v>269</v>
      </c>
    </row>
    <row r="354" spans="1:1" x14ac:dyDescent="0.2">
      <c r="A354" s="14" t="s">
        <v>274</v>
      </c>
    </row>
    <row r="355" spans="1:1" x14ac:dyDescent="0.2">
      <c r="A355" s="14" t="s">
        <v>26</v>
      </c>
    </row>
    <row r="356" spans="1:1" x14ac:dyDescent="0.2">
      <c r="A356" s="14" t="s">
        <v>271</v>
      </c>
    </row>
    <row r="357" spans="1:1" x14ac:dyDescent="0.2">
      <c r="A357" s="14" t="s">
        <v>272</v>
      </c>
    </row>
    <row r="358" spans="1:1" x14ac:dyDescent="0.2">
      <c r="A358" s="14" t="s">
        <v>330</v>
      </c>
    </row>
    <row r="359" spans="1:1" x14ac:dyDescent="0.2">
      <c r="A359" s="14" t="s">
        <v>273</v>
      </c>
    </row>
    <row r="360" spans="1:1" x14ac:dyDescent="0.2">
      <c r="A360" s="14" t="s">
        <v>278</v>
      </c>
    </row>
    <row r="361" spans="1:1" x14ac:dyDescent="0.2">
      <c r="A361" s="14" t="s">
        <v>276</v>
      </c>
    </row>
    <row r="362" spans="1:1" x14ac:dyDescent="0.2">
      <c r="A362" s="14" t="s">
        <v>275</v>
      </c>
    </row>
    <row r="363" spans="1:1" x14ac:dyDescent="0.2">
      <c r="A363" s="14" t="s">
        <v>280</v>
      </c>
    </row>
    <row r="364" spans="1:1" x14ac:dyDescent="0.2">
      <c r="A364" s="14" t="s">
        <v>277</v>
      </c>
    </row>
    <row r="365" spans="1:1" x14ac:dyDescent="0.2">
      <c r="A365" s="14" t="s">
        <v>279</v>
      </c>
    </row>
    <row r="366" spans="1:1" x14ac:dyDescent="0.2">
      <c r="A366" s="14" t="s">
        <v>286</v>
      </c>
    </row>
    <row r="367" spans="1:1" x14ac:dyDescent="0.2">
      <c r="A367" s="14" t="s">
        <v>284</v>
      </c>
    </row>
    <row r="368" spans="1:1" x14ac:dyDescent="0.2">
      <c r="A368" s="14" t="s">
        <v>281</v>
      </c>
    </row>
    <row r="369" spans="1:1" x14ac:dyDescent="0.2">
      <c r="A369" s="14" t="s">
        <v>283</v>
      </c>
    </row>
    <row r="370" spans="1:1" x14ac:dyDescent="0.2">
      <c r="A370" s="14" t="s">
        <v>334</v>
      </c>
    </row>
    <row r="371" spans="1:1" x14ac:dyDescent="0.2">
      <c r="A371" s="14" t="s">
        <v>282</v>
      </c>
    </row>
    <row r="372" spans="1:1" x14ac:dyDescent="0.2">
      <c r="A372" s="14" t="s">
        <v>285</v>
      </c>
    </row>
    <row r="373" spans="1:1" x14ac:dyDescent="0.2">
      <c r="A373" s="14" t="s">
        <v>288</v>
      </c>
    </row>
    <row r="374" spans="1:1" x14ac:dyDescent="0.2">
      <c r="A374" s="14" t="s">
        <v>287</v>
      </c>
    </row>
    <row r="375" spans="1:1" x14ac:dyDescent="0.2">
      <c r="A375" s="14" t="s">
        <v>289</v>
      </c>
    </row>
    <row r="376" spans="1:1" x14ac:dyDescent="0.2">
      <c r="A376" s="14" t="s">
        <v>290</v>
      </c>
    </row>
    <row r="377" spans="1:1" x14ac:dyDescent="0.2">
      <c r="A377" s="14" t="s">
        <v>292</v>
      </c>
    </row>
    <row r="378" spans="1:1" x14ac:dyDescent="0.2">
      <c r="A378" s="14" t="s">
        <v>291</v>
      </c>
    </row>
    <row r="379" spans="1:1" x14ac:dyDescent="0.2">
      <c r="A379" s="14" t="s">
        <v>293</v>
      </c>
    </row>
    <row r="380" spans="1:1" x14ac:dyDescent="0.2">
      <c r="A380" s="13" t="s">
        <v>980</v>
      </c>
    </row>
    <row r="381" spans="1:1" x14ac:dyDescent="0.2">
      <c r="A381" s="13" t="s">
        <v>1093</v>
      </c>
    </row>
    <row r="382" spans="1:1" x14ac:dyDescent="0.2">
      <c r="A382" s="14" t="s">
        <v>295</v>
      </c>
    </row>
    <row r="383" spans="1:1" x14ac:dyDescent="0.2">
      <c r="A383" s="13" t="s">
        <v>296</v>
      </c>
    </row>
    <row r="384" spans="1:1" x14ac:dyDescent="0.2">
      <c r="A384" s="13" t="s">
        <v>297</v>
      </c>
    </row>
    <row r="385" spans="1:1" x14ac:dyDescent="0.2">
      <c r="A385" s="13" t="s">
        <v>298</v>
      </c>
    </row>
    <row r="386" spans="1:1" x14ac:dyDescent="0.2">
      <c r="A386" s="14" t="s">
        <v>299</v>
      </c>
    </row>
    <row r="387" spans="1:1" x14ac:dyDescent="0.2">
      <c r="A387" s="14" t="s">
        <v>300</v>
      </c>
    </row>
    <row r="389" spans="1:1" ht="31" x14ac:dyDescent="0.2">
      <c r="A389" s="18" t="s">
        <v>301</v>
      </c>
    </row>
    <row r="391" spans="1:1" x14ac:dyDescent="0.2">
      <c r="A391" s="13" t="s">
        <v>302</v>
      </c>
    </row>
    <row r="392" spans="1:1" x14ac:dyDescent="0.2">
      <c r="A392" s="13" t="s">
        <v>303</v>
      </c>
    </row>
    <row r="394" spans="1:1" x14ac:dyDescent="0.2">
      <c r="A394" s="14" t="s">
        <v>1673</v>
      </c>
    </row>
    <row r="396" spans="1:1" x14ac:dyDescent="0.2">
      <c r="A396" s="13" t="s">
        <v>1674</v>
      </c>
    </row>
    <row r="397" spans="1:1" x14ac:dyDescent="0.2">
      <c r="A397" s="13" t="s">
        <v>302</v>
      </c>
    </row>
    <row r="398" spans="1:1" x14ac:dyDescent="0.2">
      <c r="A398" s="13" t="s">
        <v>303</v>
      </c>
    </row>
    <row r="399" spans="1:1" x14ac:dyDescent="0.2">
      <c r="A399" s="13" t="s">
        <v>1675</v>
      </c>
    </row>
    <row r="400" spans="1:1" x14ac:dyDescent="0.2">
      <c r="A400" s="19">
        <v>-5.0000000000000001E-3</v>
      </c>
    </row>
    <row r="401" spans="1:1" x14ac:dyDescent="0.2">
      <c r="A401" s="13" t="s">
        <v>304</v>
      </c>
    </row>
    <row r="402" spans="1:1" x14ac:dyDescent="0.2">
      <c r="A402" s="13" t="s">
        <v>1676</v>
      </c>
    </row>
    <row r="403" spans="1:1" x14ac:dyDescent="0.2">
      <c r="A403" s="13" t="s">
        <v>305</v>
      </c>
    </row>
    <row r="404" spans="1:1" x14ac:dyDescent="0.2">
      <c r="A404" s="19">
        <v>0.40820000000000001</v>
      </c>
    </row>
    <row r="405" spans="1:1" x14ac:dyDescent="0.2">
      <c r="A405" s="13" t="s">
        <v>306</v>
      </c>
    </row>
    <row r="406" spans="1:1" x14ac:dyDescent="0.2">
      <c r="A406" s="13">
        <v>9441</v>
      </c>
    </row>
    <row r="407" spans="1:1" x14ac:dyDescent="0.2">
      <c r="A407" s="13" t="s">
        <v>307</v>
      </c>
    </row>
    <row r="408" spans="1:1" x14ac:dyDescent="0.2">
      <c r="A408" s="13" t="s">
        <v>1089</v>
      </c>
    </row>
    <row r="409" spans="1:1" x14ac:dyDescent="0.2">
      <c r="A409" t="s">
        <v>87</v>
      </c>
    </row>
    <row r="410" spans="1:1" x14ac:dyDescent="0.2">
      <c r="A410" t="s">
        <v>88</v>
      </c>
    </row>
    <row r="411" spans="1:1" x14ac:dyDescent="0.2">
      <c r="A411" s="15"/>
    </row>
    <row r="412" spans="1:1" x14ac:dyDescent="0.2">
      <c r="A412" t="s">
        <v>89</v>
      </c>
    </row>
    <row r="413" spans="1:1" x14ac:dyDescent="0.2">
      <c r="A413" t="s">
        <v>90</v>
      </c>
    </row>
    <row r="414" spans="1:1" x14ac:dyDescent="0.2">
      <c r="A414" s="15"/>
    </row>
    <row r="415" spans="1:1" x14ac:dyDescent="0.2">
      <c r="A415" t="s">
        <v>6</v>
      </c>
    </row>
    <row r="416" spans="1:1" x14ac:dyDescent="0.2">
      <c r="A416" t="s">
        <v>91</v>
      </c>
    </row>
    <row r="417" spans="1:1" x14ac:dyDescent="0.2">
      <c r="A417" s="15"/>
    </row>
    <row r="418" spans="1:1" x14ac:dyDescent="0.2">
      <c r="A418" t="s">
        <v>92</v>
      </c>
    </row>
    <row r="419" spans="1:1" x14ac:dyDescent="0.2">
      <c r="A419" t="s">
        <v>93</v>
      </c>
    </row>
    <row r="420" spans="1:1" x14ac:dyDescent="0.2">
      <c r="A420" s="15"/>
    </row>
    <row r="421" spans="1:1" x14ac:dyDescent="0.2">
      <c r="A421" t="s">
        <v>94</v>
      </c>
    </row>
    <row r="422" spans="1:1" x14ac:dyDescent="0.2">
      <c r="A422" t="s">
        <v>95</v>
      </c>
    </row>
    <row r="423" spans="1:1" x14ac:dyDescent="0.2">
      <c r="A423" s="15"/>
    </row>
    <row r="424" spans="1:1" x14ac:dyDescent="0.2">
      <c r="A424" t="s">
        <v>7</v>
      </c>
    </row>
    <row r="425" spans="1:1" x14ac:dyDescent="0.2">
      <c r="A425" t="s">
        <v>96</v>
      </c>
    </row>
    <row r="426" spans="1:1" x14ac:dyDescent="0.2">
      <c r="A426" s="15"/>
    </row>
    <row r="427" spans="1:1" x14ac:dyDescent="0.2">
      <c r="A427" t="s">
        <v>97</v>
      </c>
    </row>
    <row r="428" spans="1:1" x14ac:dyDescent="0.2">
      <c r="A428" t="s">
        <v>97</v>
      </c>
    </row>
    <row r="429" spans="1:1" x14ac:dyDescent="0.2">
      <c r="A429" s="15"/>
    </row>
    <row r="430" spans="1:1" x14ac:dyDescent="0.2">
      <c r="A430" t="s">
        <v>98</v>
      </c>
    </row>
    <row r="431" spans="1:1" x14ac:dyDescent="0.2">
      <c r="A431" t="s">
        <v>98</v>
      </c>
    </row>
    <row r="432" spans="1:1" x14ac:dyDescent="0.2">
      <c r="A432" s="15"/>
    </row>
    <row r="433" spans="1:1" x14ac:dyDescent="0.2">
      <c r="A433" t="s">
        <v>99</v>
      </c>
    </row>
    <row r="434" spans="1:1" x14ac:dyDescent="0.2">
      <c r="A434" t="s">
        <v>100</v>
      </c>
    </row>
    <row r="435" spans="1:1" x14ac:dyDescent="0.2">
      <c r="A435" s="15"/>
    </row>
    <row r="436" spans="1:1" x14ac:dyDescent="0.2">
      <c r="A436" t="s">
        <v>101</v>
      </c>
    </row>
    <row r="437" spans="1:1" x14ac:dyDescent="0.2">
      <c r="A437" t="s">
        <v>102</v>
      </c>
    </row>
    <row r="438" spans="1:1" x14ac:dyDescent="0.2">
      <c r="A438" s="15"/>
    </row>
    <row r="439" spans="1:1" x14ac:dyDescent="0.2">
      <c r="A439" t="s">
        <v>3</v>
      </c>
    </row>
    <row r="440" spans="1:1" x14ac:dyDescent="0.2">
      <c r="A440" t="s">
        <v>103</v>
      </c>
    </row>
    <row r="441" spans="1:1" x14ac:dyDescent="0.2">
      <c r="A441" s="15"/>
    </row>
    <row r="442" spans="1:1" x14ac:dyDescent="0.2">
      <c r="A442" t="s">
        <v>104</v>
      </c>
    </row>
    <row r="443" spans="1:1" x14ac:dyDescent="0.2">
      <c r="A443" t="s">
        <v>105</v>
      </c>
    </row>
    <row r="445" spans="1:1" x14ac:dyDescent="0.2">
      <c r="A445" t="s">
        <v>106</v>
      </c>
    </row>
    <row r="446" spans="1:1" x14ac:dyDescent="0.2">
      <c r="A446" s="15"/>
    </row>
    <row r="447" spans="1:1" x14ac:dyDescent="0.2">
      <c r="A447" t="s">
        <v>107</v>
      </c>
    </row>
    <row r="448" spans="1:1" x14ac:dyDescent="0.2">
      <c r="A448" t="s">
        <v>108</v>
      </c>
    </row>
    <row r="449" spans="1:1" x14ac:dyDescent="0.2">
      <c r="A449" s="15"/>
    </row>
    <row r="450" spans="1:1" x14ac:dyDescent="0.2">
      <c r="A450" t="s">
        <v>109</v>
      </c>
    </row>
    <row r="451" spans="1:1" x14ac:dyDescent="0.2">
      <c r="A451" t="s">
        <v>110</v>
      </c>
    </row>
    <row r="453" spans="1:1" x14ac:dyDescent="0.2">
      <c r="A453" t="s">
        <v>111</v>
      </c>
    </row>
    <row r="454" spans="1:1" x14ac:dyDescent="0.2">
      <c r="A454" s="15"/>
    </row>
    <row r="455" spans="1:1" x14ac:dyDescent="0.2">
      <c r="A455" t="s">
        <v>112</v>
      </c>
    </row>
    <row r="456" spans="1:1" x14ac:dyDescent="0.2">
      <c r="A456" t="s">
        <v>113</v>
      </c>
    </row>
    <row r="457" spans="1:1" x14ac:dyDescent="0.2">
      <c r="A457" s="15"/>
    </row>
    <row r="458" spans="1:1" x14ac:dyDescent="0.2">
      <c r="A458" t="s">
        <v>114</v>
      </c>
    </row>
    <row r="459" spans="1:1" x14ac:dyDescent="0.2">
      <c r="A459" t="s">
        <v>115</v>
      </c>
    </row>
    <row r="460" spans="1:1" x14ac:dyDescent="0.2">
      <c r="A460" s="15"/>
    </row>
    <row r="461" spans="1:1" x14ac:dyDescent="0.2">
      <c r="A461" t="s">
        <v>116</v>
      </c>
    </row>
    <row r="462" spans="1:1" x14ac:dyDescent="0.2">
      <c r="A462" t="s">
        <v>117</v>
      </c>
    </row>
    <row r="463" spans="1:1" x14ac:dyDescent="0.2">
      <c r="A463" s="15"/>
    </row>
    <row r="464" spans="1:1" x14ac:dyDescent="0.2">
      <c r="A464" t="s">
        <v>118</v>
      </c>
    </row>
    <row r="465" spans="1:1" x14ac:dyDescent="0.2">
      <c r="A465" t="s">
        <v>119</v>
      </c>
    </row>
    <row r="466" spans="1:1" x14ac:dyDescent="0.2">
      <c r="A466" s="15"/>
    </row>
    <row r="467" spans="1:1" x14ac:dyDescent="0.2">
      <c r="A467" t="s">
        <v>120</v>
      </c>
    </row>
    <row r="468" spans="1:1" x14ac:dyDescent="0.2">
      <c r="A468" t="s">
        <v>121</v>
      </c>
    </row>
    <row r="469" spans="1:1" x14ac:dyDescent="0.2">
      <c r="A469" s="15"/>
    </row>
    <row r="470" spans="1:1" x14ac:dyDescent="0.2">
      <c r="A470" t="s">
        <v>122</v>
      </c>
    </row>
    <row r="471" spans="1:1" x14ac:dyDescent="0.2">
      <c r="A471" t="s">
        <v>123</v>
      </c>
    </row>
    <row r="472" spans="1:1" x14ac:dyDescent="0.2">
      <c r="A472" s="15"/>
    </row>
    <row r="473" spans="1:1" x14ac:dyDescent="0.2">
      <c r="A473" t="s">
        <v>124</v>
      </c>
    </row>
    <row r="474" spans="1:1" x14ac:dyDescent="0.2">
      <c r="A474" t="s">
        <v>125</v>
      </c>
    </row>
    <row r="475" spans="1:1" x14ac:dyDescent="0.2">
      <c r="A475" s="15"/>
    </row>
    <row r="476" spans="1:1" x14ac:dyDescent="0.2">
      <c r="A476" t="s">
        <v>126</v>
      </c>
    </row>
    <row r="477" spans="1:1" x14ac:dyDescent="0.2">
      <c r="A477" t="s">
        <v>127</v>
      </c>
    </row>
    <row r="479" spans="1:1" x14ac:dyDescent="0.2">
      <c r="A479" t="s">
        <v>128</v>
      </c>
    </row>
    <row r="480" spans="1:1" x14ac:dyDescent="0.2">
      <c r="A480" s="15"/>
    </row>
    <row r="481" spans="1:1" x14ac:dyDescent="0.2">
      <c r="A481" t="s">
        <v>129</v>
      </c>
    </row>
    <row r="482" spans="1:1" x14ac:dyDescent="0.2">
      <c r="A482" t="s">
        <v>130</v>
      </c>
    </row>
    <row r="483" spans="1:1" x14ac:dyDescent="0.2">
      <c r="A483" s="15"/>
    </row>
    <row r="484" spans="1:1" x14ac:dyDescent="0.2">
      <c r="A484" t="s">
        <v>131</v>
      </c>
    </row>
    <row r="485" spans="1:1" x14ac:dyDescent="0.2">
      <c r="A485" t="s">
        <v>132</v>
      </c>
    </row>
    <row r="486" spans="1:1" x14ac:dyDescent="0.2">
      <c r="A486" s="15"/>
    </row>
    <row r="487" spans="1:1" x14ac:dyDescent="0.2">
      <c r="A487" t="s">
        <v>133</v>
      </c>
    </row>
    <row r="488" spans="1:1" x14ac:dyDescent="0.2">
      <c r="A488" t="s">
        <v>134</v>
      </c>
    </row>
    <row r="489" spans="1:1" x14ac:dyDescent="0.2">
      <c r="A489" s="15"/>
    </row>
    <row r="490" spans="1:1" x14ac:dyDescent="0.2">
      <c r="A490" t="s">
        <v>135</v>
      </c>
    </row>
    <row r="491" spans="1:1" x14ac:dyDescent="0.2">
      <c r="A491" t="s">
        <v>136</v>
      </c>
    </row>
    <row r="492" spans="1:1" x14ac:dyDescent="0.2">
      <c r="A492" s="15"/>
    </row>
    <row r="493" spans="1:1" x14ac:dyDescent="0.2">
      <c r="A493" t="s">
        <v>137</v>
      </c>
    </row>
    <row r="494" spans="1:1" x14ac:dyDescent="0.2">
      <c r="A494" t="s">
        <v>138</v>
      </c>
    </row>
    <row r="495" spans="1:1" x14ac:dyDescent="0.2">
      <c r="A495" s="15"/>
    </row>
    <row r="496" spans="1:1" x14ac:dyDescent="0.2">
      <c r="A496" t="s">
        <v>139</v>
      </c>
    </row>
    <row r="497" spans="1:1" x14ac:dyDescent="0.2">
      <c r="A497" t="s">
        <v>140</v>
      </c>
    </row>
    <row r="498" spans="1:1" x14ac:dyDescent="0.2">
      <c r="A498" s="15"/>
    </row>
    <row r="499" spans="1:1" x14ac:dyDescent="0.2">
      <c r="A499" t="s">
        <v>141</v>
      </c>
    </row>
    <row r="500" spans="1:1" x14ac:dyDescent="0.2">
      <c r="A500" t="s">
        <v>142</v>
      </c>
    </row>
    <row r="501" spans="1:1" x14ac:dyDescent="0.2">
      <c r="A501" s="15"/>
    </row>
    <row r="502" spans="1:1" x14ac:dyDescent="0.2">
      <c r="A502" t="s">
        <v>143</v>
      </c>
    </row>
    <row r="503" spans="1:1" x14ac:dyDescent="0.2">
      <c r="A503" t="s">
        <v>144</v>
      </c>
    </row>
    <row r="504" spans="1:1" x14ac:dyDescent="0.2">
      <c r="A504" s="15"/>
    </row>
    <row r="505" spans="1:1" x14ac:dyDescent="0.2">
      <c r="A505" t="s">
        <v>145</v>
      </c>
    </row>
    <row r="506" spans="1:1" x14ac:dyDescent="0.2">
      <c r="A506" t="s">
        <v>146</v>
      </c>
    </row>
    <row r="507" spans="1:1" x14ac:dyDescent="0.2">
      <c r="A507" s="15"/>
    </row>
    <row r="508" spans="1:1" x14ac:dyDescent="0.2">
      <c r="A508" t="s">
        <v>147</v>
      </c>
    </row>
    <row r="509" spans="1:1" x14ac:dyDescent="0.2">
      <c r="A509" t="s">
        <v>148</v>
      </c>
    </row>
    <row r="510" spans="1:1" x14ac:dyDescent="0.2">
      <c r="A510" s="15"/>
    </row>
    <row r="511" spans="1:1" x14ac:dyDescent="0.2">
      <c r="A511" t="s">
        <v>149</v>
      </c>
    </row>
    <row r="512" spans="1:1" x14ac:dyDescent="0.2">
      <c r="A512" t="s">
        <v>150</v>
      </c>
    </row>
    <row r="513" spans="1:1" x14ac:dyDescent="0.2">
      <c r="A513" s="15"/>
    </row>
    <row r="514" spans="1:1" x14ac:dyDescent="0.2">
      <c r="A514" t="s">
        <v>151</v>
      </c>
    </row>
    <row r="515" spans="1:1" x14ac:dyDescent="0.2">
      <c r="A515" t="s">
        <v>152</v>
      </c>
    </row>
    <row r="516" spans="1:1" x14ac:dyDescent="0.2">
      <c r="A516" s="15"/>
    </row>
    <row r="517" spans="1:1" x14ac:dyDescent="0.2">
      <c r="A517" t="s">
        <v>153</v>
      </c>
    </row>
    <row r="518" spans="1:1" x14ac:dyDescent="0.2">
      <c r="A518" t="s">
        <v>154</v>
      </c>
    </row>
    <row r="519" spans="1:1" x14ac:dyDescent="0.2">
      <c r="A519" s="15"/>
    </row>
    <row r="520" spans="1:1" x14ac:dyDescent="0.2">
      <c r="A520" t="s">
        <v>155</v>
      </c>
    </row>
    <row r="521" spans="1:1" x14ac:dyDescent="0.2">
      <c r="A521" t="s">
        <v>156</v>
      </c>
    </row>
    <row r="522" spans="1:1" x14ac:dyDescent="0.2">
      <c r="A522" s="15"/>
    </row>
    <row r="523" spans="1:1" x14ac:dyDescent="0.2">
      <c r="A523" t="s">
        <v>157</v>
      </c>
    </row>
    <row r="524" spans="1:1" x14ac:dyDescent="0.2">
      <c r="A524" t="s">
        <v>158</v>
      </c>
    </row>
    <row r="525" spans="1:1" x14ac:dyDescent="0.2">
      <c r="A525" s="15"/>
    </row>
    <row r="526" spans="1:1" x14ac:dyDescent="0.2">
      <c r="A526" t="s">
        <v>159</v>
      </c>
    </row>
    <row r="527" spans="1:1" x14ac:dyDescent="0.2">
      <c r="A527" t="s">
        <v>160</v>
      </c>
    </row>
    <row r="528" spans="1:1" x14ac:dyDescent="0.2">
      <c r="A528" s="15"/>
    </row>
    <row r="529" spans="1:1" x14ac:dyDescent="0.2">
      <c r="A529" t="s">
        <v>161</v>
      </c>
    </row>
    <row r="530" spans="1:1" x14ac:dyDescent="0.2">
      <c r="A530" t="s">
        <v>162</v>
      </c>
    </row>
    <row r="531" spans="1:1" x14ac:dyDescent="0.2">
      <c r="A531" s="15"/>
    </row>
    <row r="532" spans="1:1" x14ac:dyDescent="0.2">
      <c r="A532" t="s">
        <v>163</v>
      </c>
    </row>
    <row r="533" spans="1:1" x14ac:dyDescent="0.2">
      <c r="A533" t="s">
        <v>164</v>
      </c>
    </row>
    <row r="534" spans="1:1" x14ac:dyDescent="0.2">
      <c r="A534" s="15"/>
    </row>
    <row r="535" spans="1:1" x14ac:dyDescent="0.2">
      <c r="A535" t="s">
        <v>165</v>
      </c>
    </row>
    <row r="536" spans="1:1" x14ac:dyDescent="0.2">
      <c r="A536" t="s">
        <v>166</v>
      </c>
    </row>
    <row r="537" spans="1:1" x14ac:dyDescent="0.2">
      <c r="A537" s="15"/>
    </row>
    <row r="538" spans="1:1" x14ac:dyDescent="0.2">
      <c r="A538" t="s">
        <v>167</v>
      </c>
    </row>
    <row r="539" spans="1:1" x14ac:dyDescent="0.2">
      <c r="A539" t="s">
        <v>168</v>
      </c>
    </row>
    <row r="540" spans="1:1" x14ac:dyDescent="0.2">
      <c r="A540" s="15"/>
    </row>
    <row r="541" spans="1:1" x14ac:dyDescent="0.2">
      <c r="A541" t="s">
        <v>169</v>
      </c>
    </row>
    <row r="542" spans="1:1" x14ac:dyDescent="0.2">
      <c r="A542" t="s">
        <v>170</v>
      </c>
    </row>
    <row r="543" spans="1:1" x14ac:dyDescent="0.2">
      <c r="A543" s="15"/>
    </row>
    <row r="544" spans="1:1" x14ac:dyDescent="0.2">
      <c r="A544" t="s">
        <v>171</v>
      </c>
    </row>
    <row r="545" spans="1:1" x14ac:dyDescent="0.2">
      <c r="A545" t="s">
        <v>172</v>
      </c>
    </row>
    <row r="546" spans="1:1" x14ac:dyDescent="0.2">
      <c r="A546" s="15"/>
    </row>
    <row r="547" spans="1:1" x14ac:dyDescent="0.2">
      <c r="A547" t="s">
        <v>173</v>
      </c>
    </row>
    <row r="548" spans="1:1" x14ac:dyDescent="0.2">
      <c r="A548" t="s">
        <v>174</v>
      </c>
    </row>
    <row r="549" spans="1:1" x14ac:dyDescent="0.2">
      <c r="A549" s="15"/>
    </row>
    <row r="550" spans="1:1" x14ac:dyDescent="0.2">
      <c r="A550" t="s">
        <v>175</v>
      </c>
    </row>
    <row r="551" spans="1:1" x14ac:dyDescent="0.2">
      <c r="A551" t="s">
        <v>176</v>
      </c>
    </row>
    <row r="552" spans="1:1" x14ac:dyDescent="0.2">
      <c r="A552" s="15"/>
    </row>
    <row r="553" spans="1:1" x14ac:dyDescent="0.2">
      <c r="A553" t="s">
        <v>177</v>
      </c>
    </row>
    <row r="554" spans="1:1" x14ac:dyDescent="0.2">
      <c r="A554" t="s">
        <v>178</v>
      </c>
    </row>
    <row r="555" spans="1:1" x14ac:dyDescent="0.2">
      <c r="A555" s="15"/>
    </row>
    <row r="556" spans="1:1" x14ac:dyDescent="0.2">
      <c r="A556" t="s">
        <v>179</v>
      </c>
    </row>
    <row r="557" spans="1:1" x14ac:dyDescent="0.2">
      <c r="A557" t="s">
        <v>180</v>
      </c>
    </row>
    <row r="558" spans="1:1" x14ac:dyDescent="0.2">
      <c r="A558" s="15"/>
    </row>
    <row r="559" spans="1:1" x14ac:dyDescent="0.2">
      <c r="A559" t="s">
        <v>181</v>
      </c>
    </row>
    <row r="560" spans="1:1" x14ac:dyDescent="0.2">
      <c r="A560" t="s">
        <v>182</v>
      </c>
    </row>
    <row r="561" spans="1:1" x14ac:dyDescent="0.2">
      <c r="A561" s="15"/>
    </row>
    <row r="562" spans="1:1" x14ac:dyDescent="0.2">
      <c r="A562" t="s">
        <v>183</v>
      </c>
    </row>
    <row r="563" spans="1:1" x14ac:dyDescent="0.2">
      <c r="A563" t="s">
        <v>184</v>
      </c>
    </row>
    <row r="564" spans="1:1" x14ac:dyDescent="0.2">
      <c r="A564" s="15"/>
    </row>
    <row r="565" spans="1:1" x14ac:dyDescent="0.2">
      <c r="A565" t="s">
        <v>185</v>
      </c>
    </row>
    <row r="566" spans="1:1" x14ac:dyDescent="0.2">
      <c r="A566" t="s">
        <v>186</v>
      </c>
    </row>
    <row r="567" spans="1:1" x14ac:dyDescent="0.2">
      <c r="A567" s="15"/>
    </row>
    <row r="568" spans="1:1" x14ac:dyDescent="0.2">
      <c r="A568" t="s">
        <v>187</v>
      </c>
    </row>
    <row r="569" spans="1:1" x14ac:dyDescent="0.2">
      <c r="A569" t="s">
        <v>188</v>
      </c>
    </row>
    <row r="570" spans="1:1" x14ac:dyDescent="0.2">
      <c r="A570" s="15"/>
    </row>
    <row r="571" spans="1:1" x14ac:dyDescent="0.2">
      <c r="A571" t="s">
        <v>189</v>
      </c>
    </row>
    <row r="572" spans="1:1" x14ac:dyDescent="0.2">
      <c r="A572" t="s">
        <v>190</v>
      </c>
    </row>
    <row r="573" spans="1:1" x14ac:dyDescent="0.2">
      <c r="A573" s="15"/>
    </row>
    <row r="574" spans="1:1" x14ac:dyDescent="0.2">
      <c r="A574" t="s">
        <v>191</v>
      </c>
    </row>
    <row r="575" spans="1:1" x14ac:dyDescent="0.2">
      <c r="A575" t="s">
        <v>192</v>
      </c>
    </row>
    <row r="576" spans="1:1" x14ac:dyDescent="0.2">
      <c r="A576" s="15"/>
    </row>
    <row r="577" spans="1:1" x14ac:dyDescent="0.2">
      <c r="A577" t="s">
        <v>193</v>
      </c>
    </row>
    <row r="578" spans="1:1" x14ac:dyDescent="0.2">
      <c r="A578" t="s">
        <v>194</v>
      </c>
    </row>
    <row r="579" spans="1:1" x14ac:dyDescent="0.2">
      <c r="A579" s="15"/>
    </row>
    <row r="580" spans="1:1" x14ac:dyDescent="0.2">
      <c r="A580" t="s">
        <v>195</v>
      </c>
    </row>
    <row r="581" spans="1:1" x14ac:dyDescent="0.2">
      <c r="A581" t="s">
        <v>196</v>
      </c>
    </row>
    <row r="582" spans="1:1" x14ac:dyDescent="0.2">
      <c r="A582" s="15"/>
    </row>
    <row r="583" spans="1:1" x14ac:dyDescent="0.2">
      <c r="A583" t="s">
        <v>197</v>
      </c>
    </row>
    <row r="584" spans="1:1" x14ac:dyDescent="0.2">
      <c r="A584" t="s">
        <v>198</v>
      </c>
    </row>
    <row r="585" spans="1:1" x14ac:dyDescent="0.2">
      <c r="A585" s="15"/>
    </row>
    <row r="586" spans="1:1" x14ac:dyDescent="0.2">
      <c r="A586" t="s">
        <v>199</v>
      </c>
    </row>
    <row r="587" spans="1:1" x14ac:dyDescent="0.2">
      <c r="A587" t="s">
        <v>200</v>
      </c>
    </row>
    <row r="588" spans="1:1" x14ac:dyDescent="0.2">
      <c r="A588" s="15"/>
    </row>
    <row r="589" spans="1:1" x14ac:dyDescent="0.2">
      <c r="A589" t="s">
        <v>201</v>
      </c>
    </row>
    <row r="590" spans="1:1" x14ac:dyDescent="0.2">
      <c r="A590" t="s">
        <v>202</v>
      </c>
    </row>
    <row r="591" spans="1:1" x14ac:dyDescent="0.2">
      <c r="A591" s="15"/>
    </row>
    <row r="592" spans="1:1" x14ac:dyDescent="0.2">
      <c r="A592" t="s">
        <v>203</v>
      </c>
    </row>
    <row r="593" spans="1:1" x14ac:dyDescent="0.2">
      <c r="A593" t="s">
        <v>204</v>
      </c>
    </row>
    <row r="595" spans="1:1" x14ac:dyDescent="0.2">
      <c r="A595" t="s">
        <v>205</v>
      </c>
    </row>
    <row r="596" spans="1:1" x14ac:dyDescent="0.2">
      <c r="A596" s="15"/>
    </row>
    <row r="597" spans="1:1" x14ac:dyDescent="0.2">
      <c r="A597" t="s">
        <v>206</v>
      </c>
    </row>
    <row r="598" spans="1:1" x14ac:dyDescent="0.2">
      <c r="A598" t="s">
        <v>207</v>
      </c>
    </row>
    <row r="599" spans="1:1" x14ac:dyDescent="0.2">
      <c r="A599" s="15"/>
    </row>
    <row r="600" spans="1:1" x14ac:dyDescent="0.2">
      <c r="A600" t="s">
        <v>208</v>
      </c>
    </row>
    <row r="601" spans="1:1" x14ac:dyDescent="0.2">
      <c r="A601" t="s">
        <v>209</v>
      </c>
    </row>
    <row r="603" spans="1:1" x14ac:dyDescent="0.2">
      <c r="A603" t="s">
        <v>308</v>
      </c>
    </row>
    <row r="604" spans="1:1" x14ac:dyDescent="0.2">
      <c r="A604" s="15"/>
    </row>
    <row r="605" spans="1:1" x14ac:dyDescent="0.2">
      <c r="A605" s="15" t="s">
        <v>309</v>
      </c>
    </row>
    <row r="606" spans="1:1" x14ac:dyDescent="0.2">
      <c r="A606" s="15" t="s">
        <v>293</v>
      </c>
    </row>
    <row r="607" spans="1:1" x14ac:dyDescent="0.2">
      <c r="A607" s="15" t="s">
        <v>272</v>
      </c>
    </row>
    <row r="608" spans="1:1" x14ac:dyDescent="0.2">
      <c r="A608" s="15" t="s">
        <v>1033</v>
      </c>
    </row>
    <row r="609" spans="1:1" x14ac:dyDescent="0.2">
      <c r="A609" s="15" t="s">
        <v>310</v>
      </c>
    </row>
    <row r="610" spans="1:1" x14ac:dyDescent="0.2">
      <c r="A610" s="15" t="s">
        <v>260</v>
      </c>
    </row>
    <row r="611" spans="1:1" x14ac:dyDescent="0.2">
      <c r="A611" s="15" t="s">
        <v>311</v>
      </c>
    </row>
    <row r="612" spans="1:1" x14ac:dyDescent="0.2">
      <c r="A612" s="15" t="s">
        <v>312</v>
      </c>
    </row>
    <row r="613" spans="1:1" x14ac:dyDescent="0.2">
      <c r="A613" s="15" t="s">
        <v>258</v>
      </c>
    </row>
    <row r="614" spans="1:1" x14ac:dyDescent="0.2">
      <c r="A614" s="15" t="s">
        <v>268</v>
      </c>
    </row>
    <row r="615" spans="1:1" x14ac:dyDescent="0.2">
      <c r="A615" s="15" t="s">
        <v>313</v>
      </c>
    </row>
    <row r="616" spans="1:1" x14ac:dyDescent="0.2">
      <c r="A616" s="15" t="s">
        <v>314</v>
      </c>
    </row>
    <row r="617" spans="1:1" x14ac:dyDescent="0.2">
      <c r="A617" s="15" t="s">
        <v>315</v>
      </c>
    </row>
    <row r="618" spans="1:1" x14ac:dyDescent="0.2">
      <c r="A618" s="15" t="s">
        <v>247</v>
      </c>
    </row>
    <row r="619" spans="1:1" x14ac:dyDescent="0.2">
      <c r="A619" s="15" t="s">
        <v>316</v>
      </c>
    </row>
    <row r="620" spans="1:1" x14ac:dyDescent="0.2">
      <c r="A620" s="15" t="s">
        <v>317</v>
      </c>
    </row>
    <row r="621" spans="1:1" x14ac:dyDescent="0.2">
      <c r="A621" s="15" t="s">
        <v>992</v>
      </c>
    </row>
    <row r="622" spans="1:1" x14ac:dyDescent="0.2">
      <c r="A622" s="15" t="s">
        <v>248</v>
      </c>
    </row>
    <row r="623" spans="1:1" x14ac:dyDescent="0.2">
      <c r="A623" s="15" t="s">
        <v>318</v>
      </c>
    </row>
    <row r="624" spans="1:1" x14ac:dyDescent="0.2">
      <c r="A624" s="15" t="s">
        <v>319</v>
      </c>
    </row>
    <row r="625" spans="1:1" x14ac:dyDescent="0.2">
      <c r="A625" s="15" t="s">
        <v>320</v>
      </c>
    </row>
    <row r="626" spans="1:1" x14ac:dyDescent="0.2">
      <c r="A626" s="15" t="s">
        <v>321</v>
      </c>
    </row>
    <row r="627" spans="1:1" x14ac:dyDescent="0.2">
      <c r="A627" s="15" t="s">
        <v>322</v>
      </c>
    </row>
    <row r="628" spans="1:1" x14ac:dyDescent="0.2">
      <c r="A628" s="15" t="s">
        <v>256</v>
      </c>
    </row>
    <row r="629" spans="1:1" x14ac:dyDescent="0.2">
      <c r="A629" s="15" t="s">
        <v>323</v>
      </c>
    </row>
    <row r="630" spans="1:1" x14ac:dyDescent="0.2">
      <c r="A630" s="15" t="s">
        <v>324</v>
      </c>
    </row>
    <row r="631" spans="1:1" x14ac:dyDescent="0.2">
      <c r="A631" s="15" t="s">
        <v>255</v>
      </c>
    </row>
    <row r="632" spans="1:1" x14ac:dyDescent="0.2">
      <c r="A632" s="15" t="s">
        <v>245</v>
      </c>
    </row>
    <row r="633" spans="1:1" x14ac:dyDescent="0.2">
      <c r="A633" s="15" t="s">
        <v>288</v>
      </c>
    </row>
    <row r="634" spans="1:1" x14ac:dyDescent="0.2">
      <c r="A634" s="15" t="s">
        <v>26</v>
      </c>
    </row>
    <row r="635" spans="1:1" x14ac:dyDescent="0.2">
      <c r="A635" s="15" t="s">
        <v>325</v>
      </c>
    </row>
    <row r="636" spans="1:1" x14ac:dyDescent="0.2">
      <c r="A636" s="15" t="s">
        <v>326</v>
      </c>
    </row>
    <row r="637" spans="1:1" x14ac:dyDescent="0.2">
      <c r="A637" s="15" t="s">
        <v>327</v>
      </c>
    </row>
    <row r="638" spans="1:1" x14ac:dyDescent="0.2">
      <c r="A638" s="15" t="s">
        <v>328</v>
      </c>
    </row>
    <row r="639" spans="1:1" x14ac:dyDescent="0.2">
      <c r="A639" s="15" t="s">
        <v>274</v>
      </c>
    </row>
    <row r="640" spans="1:1" x14ac:dyDescent="0.2">
      <c r="A640" s="15" t="s">
        <v>329</v>
      </c>
    </row>
    <row r="641" spans="1:1" x14ac:dyDescent="0.2">
      <c r="A641" s="15" t="s">
        <v>244</v>
      </c>
    </row>
    <row r="642" spans="1:1" x14ac:dyDescent="0.2">
      <c r="A642" s="15" t="s">
        <v>290</v>
      </c>
    </row>
    <row r="643" spans="1:1" x14ac:dyDescent="0.2">
      <c r="A643" s="15" t="s">
        <v>330</v>
      </c>
    </row>
    <row r="644" spans="1:1" x14ac:dyDescent="0.2">
      <c r="A644" s="15" t="s">
        <v>261</v>
      </c>
    </row>
    <row r="645" spans="1:1" x14ac:dyDescent="0.2">
      <c r="A645" s="15" t="s">
        <v>287</v>
      </c>
    </row>
    <row r="646" spans="1:1" x14ac:dyDescent="0.2">
      <c r="A646" s="15" t="s">
        <v>269</v>
      </c>
    </row>
    <row r="647" spans="1:1" x14ac:dyDescent="0.2">
      <c r="A647" s="15" t="s">
        <v>331</v>
      </c>
    </row>
    <row r="648" spans="1:1" x14ac:dyDescent="0.2">
      <c r="A648" s="15" t="s">
        <v>332</v>
      </c>
    </row>
    <row r="649" spans="1:1" x14ac:dyDescent="0.2">
      <c r="A649" s="15" t="s">
        <v>252</v>
      </c>
    </row>
    <row r="650" spans="1:1" x14ac:dyDescent="0.2">
      <c r="A650" s="15" t="s">
        <v>979</v>
      </c>
    </row>
    <row r="651" spans="1:1" x14ac:dyDescent="0.2">
      <c r="A651" s="15" t="s">
        <v>333</v>
      </c>
    </row>
    <row r="652" spans="1:1" x14ac:dyDescent="0.2">
      <c r="A652" s="15" t="s">
        <v>334</v>
      </c>
    </row>
    <row r="653" spans="1:1" x14ac:dyDescent="0.2">
      <c r="A653" s="15" t="s">
        <v>335</v>
      </c>
    </row>
    <row r="654" spans="1:1" x14ac:dyDescent="0.2">
      <c r="A654" s="15" t="s">
        <v>336</v>
      </c>
    </row>
    <row r="655" spans="1:1" x14ac:dyDescent="0.2">
      <c r="A655" s="15" t="s">
        <v>281</v>
      </c>
    </row>
    <row r="656" spans="1:1" x14ac:dyDescent="0.2">
      <c r="A656" s="15" t="s">
        <v>263</v>
      </c>
    </row>
    <row r="657" spans="1:1" x14ac:dyDescent="0.2">
      <c r="A657" s="15" t="s">
        <v>337</v>
      </c>
    </row>
    <row r="658" spans="1:1" x14ac:dyDescent="0.2">
      <c r="A658" s="15" t="s">
        <v>338</v>
      </c>
    </row>
    <row r="659" spans="1:1" x14ac:dyDescent="0.2">
      <c r="A659" s="15" t="s">
        <v>339</v>
      </c>
    </row>
    <row r="660" spans="1:1" x14ac:dyDescent="0.2">
      <c r="A660" s="15" t="s">
        <v>340</v>
      </c>
    </row>
    <row r="661" spans="1:1" x14ac:dyDescent="0.2">
      <c r="A661" s="15" t="s">
        <v>264</v>
      </c>
    </row>
    <row r="662" spans="1:1" x14ac:dyDescent="0.2">
      <c r="A662" s="15" t="s">
        <v>341</v>
      </c>
    </row>
    <row r="663" spans="1:1" x14ac:dyDescent="0.2">
      <c r="A663" s="15" t="s">
        <v>342</v>
      </c>
    </row>
    <row r="664" spans="1:1" x14ac:dyDescent="0.2">
      <c r="A664" s="15" t="s">
        <v>343</v>
      </c>
    </row>
    <row r="665" spans="1:1" x14ac:dyDescent="0.2">
      <c r="A665" s="15" t="s">
        <v>344</v>
      </c>
    </row>
    <row r="666" spans="1:1" x14ac:dyDescent="0.2">
      <c r="A666" s="15" t="s">
        <v>273</v>
      </c>
    </row>
    <row r="667" spans="1:1" x14ac:dyDescent="0.2">
      <c r="A667" s="15" t="s">
        <v>345</v>
      </c>
    </row>
    <row r="668" spans="1:1" x14ac:dyDescent="0.2">
      <c r="A668" s="15" t="s">
        <v>253</v>
      </c>
    </row>
    <row r="669" spans="1:1" x14ac:dyDescent="0.2">
      <c r="A669" s="15" t="s">
        <v>279</v>
      </c>
    </row>
    <row r="670" spans="1:1" x14ac:dyDescent="0.2">
      <c r="A670" s="15" t="s">
        <v>284</v>
      </c>
    </row>
    <row r="671" spans="1:1" x14ac:dyDescent="0.2">
      <c r="A671" s="15" t="s">
        <v>346</v>
      </c>
    </row>
    <row r="672" spans="1:1" x14ac:dyDescent="0.2">
      <c r="A672" s="15" t="s">
        <v>282</v>
      </c>
    </row>
    <row r="673" spans="1:1" x14ac:dyDescent="0.2">
      <c r="A673" s="15" t="s">
        <v>347</v>
      </c>
    </row>
    <row r="674" spans="1:1" x14ac:dyDescent="0.2">
      <c r="A674" s="15" t="s">
        <v>348</v>
      </c>
    </row>
    <row r="675" spans="1:1" x14ac:dyDescent="0.2">
      <c r="A675" s="15" t="s">
        <v>349</v>
      </c>
    </row>
    <row r="676" spans="1:1" x14ac:dyDescent="0.2">
      <c r="A676" s="15" t="s">
        <v>257</v>
      </c>
    </row>
    <row r="677" spans="1:1" x14ac:dyDescent="0.2">
      <c r="A677" s="15" t="s">
        <v>350</v>
      </c>
    </row>
    <row r="678" spans="1:1" x14ac:dyDescent="0.2">
      <c r="A678" s="15" t="s">
        <v>292</v>
      </c>
    </row>
    <row r="679" spans="1:1" x14ac:dyDescent="0.2">
      <c r="A679" s="15" t="s">
        <v>266</v>
      </c>
    </row>
    <row r="680" spans="1:1" x14ac:dyDescent="0.2">
      <c r="A680" s="15" t="s">
        <v>351</v>
      </c>
    </row>
    <row r="681" spans="1:1" x14ac:dyDescent="0.2">
      <c r="A681" s="15" t="s">
        <v>280</v>
      </c>
    </row>
    <row r="682" spans="1:1" x14ac:dyDescent="0.2">
      <c r="A682" s="15" t="s">
        <v>352</v>
      </c>
    </row>
    <row r="683" spans="1:1" x14ac:dyDescent="0.2">
      <c r="A683" s="15" t="s">
        <v>251</v>
      </c>
    </row>
    <row r="684" spans="1:1" x14ac:dyDescent="0.2">
      <c r="A684" s="15" t="s">
        <v>250</v>
      </c>
    </row>
    <row r="685" spans="1:1" x14ac:dyDescent="0.2">
      <c r="A685" s="15" t="s">
        <v>285</v>
      </c>
    </row>
    <row r="686" spans="1:1" x14ac:dyDescent="0.2">
      <c r="A686" s="15" t="s">
        <v>267</v>
      </c>
    </row>
    <row r="687" spans="1:1" x14ac:dyDescent="0.2">
      <c r="A687" s="15" t="s">
        <v>353</v>
      </c>
    </row>
    <row r="688" spans="1:1" x14ac:dyDescent="0.2">
      <c r="A688" s="15" t="s">
        <v>354</v>
      </c>
    </row>
    <row r="689" spans="1:1" x14ac:dyDescent="0.2">
      <c r="A689" s="15" t="s">
        <v>355</v>
      </c>
    </row>
    <row r="690" spans="1:1" x14ac:dyDescent="0.2">
      <c r="A690" s="15" t="s">
        <v>286</v>
      </c>
    </row>
    <row r="691" spans="1:1" x14ac:dyDescent="0.2">
      <c r="A691" s="15" t="s">
        <v>356</v>
      </c>
    </row>
    <row r="692" spans="1:1" x14ac:dyDescent="0.2">
      <c r="A692" s="15" t="s">
        <v>357</v>
      </c>
    </row>
    <row r="693" spans="1:1" x14ac:dyDescent="0.2">
      <c r="A693" s="15" t="s">
        <v>358</v>
      </c>
    </row>
    <row r="694" spans="1:1" x14ac:dyDescent="0.2">
      <c r="A694" s="15" t="s">
        <v>278</v>
      </c>
    </row>
    <row r="695" spans="1:1" x14ac:dyDescent="0.2">
      <c r="A695" s="15" t="s">
        <v>243</v>
      </c>
    </row>
    <row r="696" spans="1:1" x14ac:dyDescent="0.2">
      <c r="A696" s="15" t="s">
        <v>289</v>
      </c>
    </row>
    <row r="697" spans="1:1" x14ac:dyDescent="0.2">
      <c r="A697" s="15" t="s">
        <v>359</v>
      </c>
    </row>
    <row r="698" spans="1:1" x14ac:dyDescent="0.2">
      <c r="A698" s="15" t="s">
        <v>249</v>
      </c>
    </row>
    <row r="699" spans="1:1" x14ac:dyDescent="0.2">
      <c r="A699" s="15" t="s">
        <v>275</v>
      </c>
    </row>
    <row r="700" spans="1:1" x14ac:dyDescent="0.2">
      <c r="A700" s="15" t="s">
        <v>246</v>
      </c>
    </row>
    <row r="701" spans="1:1" x14ac:dyDescent="0.2">
      <c r="A701" s="15" t="s">
        <v>262</v>
      </c>
    </row>
    <row r="702" spans="1:1" x14ac:dyDescent="0.2">
      <c r="A702" s="15" t="s">
        <v>277</v>
      </c>
    </row>
    <row r="703" spans="1:1" x14ac:dyDescent="0.2">
      <c r="A703" s="15" t="s">
        <v>283</v>
      </c>
    </row>
    <row r="704" spans="1:1" x14ac:dyDescent="0.2">
      <c r="A704" s="15" t="s">
        <v>360</v>
      </c>
    </row>
    <row r="705" spans="1:1" x14ac:dyDescent="0.2">
      <c r="A705" s="15" t="s">
        <v>265</v>
      </c>
    </row>
    <row r="706" spans="1:1" x14ac:dyDescent="0.2">
      <c r="A706" s="15" t="s">
        <v>361</v>
      </c>
    </row>
    <row r="707" spans="1:1" x14ac:dyDescent="0.2">
      <c r="A707" s="15" t="s">
        <v>362</v>
      </c>
    </row>
    <row r="708" spans="1:1" x14ac:dyDescent="0.2">
      <c r="A708" s="15" t="s">
        <v>363</v>
      </c>
    </row>
    <row r="709" spans="1:1" x14ac:dyDescent="0.2">
      <c r="A709" s="15" t="s">
        <v>364</v>
      </c>
    </row>
    <row r="710" spans="1:1" x14ac:dyDescent="0.2">
      <c r="A710" s="15" t="s">
        <v>291</v>
      </c>
    </row>
    <row r="711" spans="1:1" x14ac:dyDescent="0.2">
      <c r="A711" s="15" t="s">
        <v>365</v>
      </c>
    </row>
    <row r="712" spans="1:1" x14ac:dyDescent="0.2">
      <c r="A712" s="15" t="s">
        <v>366</v>
      </c>
    </row>
    <row r="713" spans="1:1" x14ac:dyDescent="0.2">
      <c r="A713" s="15" t="s">
        <v>367</v>
      </c>
    </row>
    <row r="714" spans="1:1" x14ac:dyDescent="0.2">
      <c r="A714" s="15" t="s">
        <v>368</v>
      </c>
    </row>
    <row r="715" spans="1:1" x14ac:dyDescent="0.2">
      <c r="A715" s="15" t="s">
        <v>369</v>
      </c>
    </row>
    <row r="716" spans="1:1" x14ac:dyDescent="0.2">
      <c r="A716" s="15" t="s">
        <v>270</v>
      </c>
    </row>
    <row r="717" spans="1:1" x14ac:dyDescent="0.2">
      <c r="A717" s="15" t="s">
        <v>259</v>
      </c>
    </row>
    <row r="718" spans="1:1" x14ac:dyDescent="0.2">
      <c r="A718" s="15" t="s">
        <v>271</v>
      </c>
    </row>
    <row r="719" spans="1:1" x14ac:dyDescent="0.2">
      <c r="A719" s="15" t="s">
        <v>276</v>
      </c>
    </row>
    <row r="720" spans="1:1" x14ac:dyDescent="0.2">
      <c r="A720" s="15" t="s">
        <v>254</v>
      </c>
    </row>
    <row r="722" spans="1:1" x14ac:dyDescent="0.2">
      <c r="A722" t="s">
        <v>370</v>
      </c>
    </row>
    <row r="725" spans="1:1" x14ac:dyDescent="0.2">
      <c r="A725" s="20" t="s">
        <v>371</v>
      </c>
    </row>
    <row r="727" spans="1:1" x14ac:dyDescent="0.2">
      <c r="A727" s="21" t="s">
        <v>372</v>
      </c>
    </row>
    <row r="728" spans="1:1" x14ac:dyDescent="0.2">
      <c r="A728" s="15"/>
    </row>
    <row r="729" spans="1:1" x14ac:dyDescent="0.2">
      <c r="A729" s="16" t="s">
        <v>373</v>
      </c>
    </row>
    <row r="730" spans="1:1" x14ac:dyDescent="0.2">
      <c r="A730" s="16" t="s">
        <v>374</v>
      </c>
    </row>
    <row r="731" spans="1:1" x14ac:dyDescent="0.2">
      <c r="A731" s="16" t="s">
        <v>375</v>
      </c>
    </row>
    <row r="733" spans="1:1" x14ac:dyDescent="0.2">
      <c r="A733" s="13" t="s">
        <v>376</v>
      </c>
    </row>
    <row r="734" spans="1:1" x14ac:dyDescent="0.2">
      <c r="A734" s="14" t="s">
        <v>377</v>
      </c>
    </row>
    <row r="736" spans="1:1" x14ac:dyDescent="0.2">
      <c r="A736" s="14" t="s">
        <v>86</v>
      </c>
    </row>
    <row r="737" spans="1:1" x14ac:dyDescent="0.2">
      <c r="A737" s="13" t="s">
        <v>87</v>
      </c>
    </row>
    <row r="738" spans="1:1" x14ac:dyDescent="0.2">
      <c r="A738" s="13" t="s">
        <v>88</v>
      </c>
    </row>
    <row r="739" spans="1:1" x14ac:dyDescent="0.2">
      <c r="A739" s="15"/>
    </row>
    <row r="740" spans="1:1" x14ac:dyDescent="0.2">
      <c r="A740" s="13" t="s">
        <v>89</v>
      </c>
    </row>
    <row r="741" spans="1:1" x14ac:dyDescent="0.2">
      <c r="A741" s="13" t="s">
        <v>90</v>
      </c>
    </row>
    <row r="742" spans="1:1" x14ac:dyDescent="0.2">
      <c r="A742" s="15"/>
    </row>
    <row r="743" spans="1:1" x14ac:dyDescent="0.2">
      <c r="A743" s="13" t="s">
        <v>6</v>
      </c>
    </row>
    <row r="744" spans="1:1" x14ac:dyDescent="0.2">
      <c r="A744" s="13" t="s">
        <v>91</v>
      </c>
    </row>
    <row r="745" spans="1:1" x14ac:dyDescent="0.2">
      <c r="A745" s="15"/>
    </row>
    <row r="746" spans="1:1" x14ac:dyDescent="0.2">
      <c r="A746" s="13" t="s">
        <v>92</v>
      </c>
    </row>
    <row r="747" spans="1:1" x14ac:dyDescent="0.2">
      <c r="A747" s="13" t="s">
        <v>93</v>
      </c>
    </row>
    <row r="748" spans="1:1" x14ac:dyDescent="0.2">
      <c r="A748" s="15"/>
    </row>
    <row r="749" spans="1:1" x14ac:dyDescent="0.2">
      <c r="A749" s="13" t="s">
        <v>94</v>
      </c>
    </row>
    <row r="750" spans="1:1" x14ac:dyDescent="0.2">
      <c r="A750" s="13" t="s">
        <v>95</v>
      </c>
    </row>
    <row r="751" spans="1:1" x14ac:dyDescent="0.2">
      <c r="A751" s="15"/>
    </row>
    <row r="752" spans="1:1" x14ac:dyDescent="0.2">
      <c r="A752" s="13" t="s">
        <v>7</v>
      </c>
    </row>
    <row r="753" spans="1:1" x14ac:dyDescent="0.2">
      <c r="A753" s="13" t="s">
        <v>96</v>
      </c>
    </row>
    <row r="754" spans="1:1" x14ac:dyDescent="0.2">
      <c r="A754" s="15"/>
    </row>
    <row r="755" spans="1:1" x14ac:dyDescent="0.2">
      <c r="A755" s="13" t="s">
        <v>97</v>
      </c>
    </row>
    <row r="756" spans="1:1" x14ac:dyDescent="0.2">
      <c r="A756" s="13" t="s">
        <v>97</v>
      </c>
    </row>
    <row r="757" spans="1:1" x14ac:dyDescent="0.2">
      <c r="A757" s="15"/>
    </row>
    <row r="758" spans="1:1" x14ac:dyDescent="0.2">
      <c r="A758" s="13" t="s">
        <v>98</v>
      </c>
    </row>
    <row r="759" spans="1:1" x14ac:dyDescent="0.2">
      <c r="A759" s="13" t="s">
        <v>98</v>
      </c>
    </row>
    <row r="760" spans="1:1" x14ac:dyDescent="0.2">
      <c r="A760" s="15"/>
    </row>
    <row r="761" spans="1:1" x14ac:dyDescent="0.2">
      <c r="A761" s="13" t="s">
        <v>99</v>
      </c>
    </row>
    <row r="762" spans="1:1" x14ac:dyDescent="0.2">
      <c r="A762" s="13" t="s">
        <v>100</v>
      </c>
    </row>
    <row r="763" spans="1:1" x14ac:dyDescent="0.2">
      <c r="A763" s="15"/>
    </row>
    <row r="764" spans="1:1" x14ac:dyDescent="0.2">
      <c r="A764" s="13" t="s">
        <v>101</v>
      </c>
    </row>
    <row r="765" spans="1:1" x14ac:dyDescent="0.2">
      <c r="A765" s="13" t="s">
        <v>102</v>
      </c>
    </row>
    <row r="766" spans="1:1" x14ac:dyDescent="0.2">
      <c r="A766" s="15"/>
    </row>
    <row r="767" spans="1:1" x14ac:dyDescent="0.2">
      <c r="A767" s="13" t="s">
        <v>3</v>
      </c>
    </row>
    <row r="768" spans="1:1" x14ac:dyDescent="0.2">
      <c r="A768" s="13" t="s">
        <v>103</v>
      </c>
    </row>
    <row r="769" spans="1:1" x14ac:dyDescent="0.2">
      <c r="A769" s="15"/>
    </row>
    <row r="770" spans="1:1" x14ac:dyDescent="0.2">
      <c r="A770" s="13" t="s">
        <v>104</v>
      </c>
    </row>
    <row r="771" spans="1:1" x14ac:dyDescent="0.2">
      <c r="A771" s="13" t="s">
        <v>105</v>
      </c>
    </row>
    <row r="773" spans="1:1" x14ac:dyDescent="0.2">
      <c r="A773" s="13" t="s">
        <v>106</v>
      </c>
    </row>
    <row r="774" spans="1:1" x14ac:dyDescent="0.2">
      <c r="A774" s="15"/>
    </row>
    <row r="775" spans="1:1" x14ac:dyDescent="0.2">
      <c r="A775" s="13" t="s">
        <v>107</v>
      </c>
    </row>
    <row r="776" spans="1:1" x14ac:dyDescent="0.2">
      <c r="A776" s="13" t="s">
        <v>108</v>
      </c>
    </row>
    <row r="777" spans="1:1" x14ac:dyDescent="0.2">
      <c r="A777" s="15"/>
    </row>
    <row r="778" spans="1:1" x14ac:dyDescent="0.2">
      <c r="A778" s="13" t="s">
        <v>109</v>
      </c>
    </row>
    <row r="779" spans="1:1" x14ac:dyDescent="0.2">
      <c r="A779" s="13" t="s">
        <v>110</v>
      </c>
    </row>
    <row r="781" spans="1:1" x14ac:dyDescent="0.2">
      <c r="A781" s="13" t="s">
        <v>111</v>
      </c>
    </row>
    <row r="782" spans="1:1" x14ac:dyDescent="0.2">
      <c r="A782" s="15"/>
    </row>
    <row r="783" spans="1:1" x14ac:dyDescent="0.2">
      <c r="A783" s="13" t="s">
        <v>112</v>
      </c>
    </row>
    <row r="784" spans="1:1" x14ac:dyDescent="0.2">
      <c r="A784" s="13" t="s">
        <v>113</v>
      </c>
    </row>
    <row r="785" spans="1:1" x14ac:dyDescent="0.2">
      <c r="A785" s="15"/>
    </row>
    <row r="786" spans="1:1" x14ac:dyDescent="0.2">
      <c r="A786" s="13" t="s">
        <v>114</v>
      </c>
    </row>
    <row r="787" spans="1:1" x14ac:dyDescent="0.2">
      <c r="A787" s="13" t="s">
        <v>115</v>
      </c>
    </row>
    <row r="788" spans="1:1" x14ac:dyDescent="0.2">
      <c r="A788" s="15"/>
    </row>
    <row r="789" spans="1:1" x14ac:dyDescent="0.2">
      <c r="A789" s="13" t="s">
        <v>116</v>
      </c>
    </row>
    <row r="790" spans="1:1" x14ac:dyDescent="0.2">
      <c r="A790" s="13" t="s">
        <v>117</v>
      </c>
    </row>
    <row r="791" spans="1:1" x14ac:dyDescent="0.2">
      <c r="A791" s="15"/>
    </row>
    <row r="792" spans="1:1" x14ac:dyDescent="0.2">
      <c r="A792" s="13" t="s">
        <v>118</v>
      </c>
    </row>
    <row r="793" spans="1:1" x14ac:dyDescent="0.2">
      <c r="A793" s="13" t="s">
        <v>119</v>
      </c>
    </row>
    <row r="794" spans="1:1" x14ac:dyDescent="0.2">
      <c r="A794" s="15"/>
    </row>
    <row r="795" spans="1:1" x14ac:dyDescent="0.2">
      <c r="A795" s="13" t="s">
        <v>120</v>
      </c>
    </row>
    <row r="796" spans="1:1" x14ac:dyDescent="0.2">
      <c r="A796" s="13" t="s">
        <v>121</v>
      </c>
    </row>
    <row r="797" spans="1:1" x14ac:dyDescent="0.2">
      <c r="A797" s="15"/>
    </row>
    <row r="798" spans="1:1" x14ac:dyDescent="0.2">
      <c r="A798" s="13" t="s">
        <v>122</v>
      </c>
    </row>
    <row r="799" spans="1:1" x14ac:dyDescent="0.2">
      <c r="A799" s="13" t="s">
        <v>123</v>
      </c>
    </row>
    <row r="800" spans="1:1" x14ac:dyDescent="0.2">
      <c r="A800" s="15"/>
    </row>
    <row r="801" spans="1:1" x14ac:dyDescent="0.2">
      <c r="A801" s="13" t="s">
        <v>124</v>
      </c>
    </row>
    <row r="802" spans="1:1" x14ac:dyDescent="0.2">
      <c r="A802" s="13" t="s">
        <v>125</v>
      </c>
    </row>
    <row r="803" spans="1:1" x14ac:dyDescent="0.2">
      <c r="A803" s="15"/>
    </row>
    <row r="804" spans="1:1" x14ac:dyDescent="0.2">
      <c r="A804" s="13" t="s">
        <v>126</v>
      </c>
    </row>
    <row r="805" spans="1:1" x14ac:dyDescent="0.2">
      <c r="A805" s="13" t="s">
        <v>127</v>
      </c>
    </row>
    <row r="807" spans="1:1" x14ac:dyDescent="0.2">
      <c r="A807" s="13" t="s">
        <v>128</v>
      </c>
    </row>
    <row r="808" spans="1:1" x14ac:dyDescent="0.2">
      <c r="A808" s="15"/>
    </row>
    <row r="809" spans="1:1" x14ac:dyDescent="0.2">
      <c r="A809" s="13" t="s">
        <v>129</v>
      </c>
    </row>
    <row r="810" spans="1:1" x14ac:dyDescent="0.2">
      <c r="A810" s="13" t="s">
        <v>130</v>
      </c>
    </row>
    <row r="811" spans="1:1" x14ac:dyDescent="0.2">
      <c r="A811" s="15"/>
    </row>
    <row r="812" spans="1:1" x14ac:dyDescent="0.2">
      <c r="A812" s="13" t="s">
        <v>131</v>
      </c>
    </row>
    <row r="813" spans="1:1" x14ac:dyDescent="0.2">
      <c r="A813" s="13" t="s">
        <v>132</v>
      </c>
    </row>
    <row r="814" spans="1:1" x14ac:dyDescent="0.2">
      <c r="A814" s="15"/>
    </row>
    <row r="815" spans="1:1" x14ac:dyDescent="0.2">
      <c r="A815" s="13" t="s">
        <v>133</v>
      </c>
    </row>
    <row r="816" spans="1:1" x14ac:dyDescent="0.2">
      <c r="A816" s="13" t="s">
        <v>134</v>
      </c>
    </row>
    <row r="817" spans="1:1" x14ac:dyDescent="0.2">
      <c r="A817" s="15"/>
    </row>
    <row r="818" spans="1:1" x14ac:dyDescent="0.2">
      <c r="A818" s="13" t="s">
        <v>135</v>
      </c>
    </row>
    <row r="819" spans="1:1" x14ac:dyDescent="0.2">
      <c r="A819" s="13" t="s">
        <v>136</v>
      </c>
    </row>
    <row r="820" spans="1:1" x14ac:dyDescent="0.2">
      <c r="A820" s="15"/>
    </row>
    <row r="821" spans="1:1" x14ac:dyDescent="0.2">
      <c r="A821" s="13" t="s">
        <v>137</v>
      </c>
    </row>
    <row r="822" spans="1:1" x14ac:dyDescent="0.2">
      <c r="A822" s="13" t="s">
        <v>138</v>
      </c>
    </row>
    <row r="823" spans="1:1" x14ac:dyDescent="0.2">
      <c r="A823" s="15"/>
    </row>
    <row r="824" spans="1:1" x14ac:dyDescent="0.2">
      <c r="A824" s="13" t="s">
        <v>139</v>
      </c>
    </row>
    <row r="825" spans="1:1" x14ac:dyDescent="0.2">
      <c r="A825" s="13" t="s">
        <v>140</v>
      </c>
    </row>
    <row r="826" spans="1:1" x14ac:dyDescent="0.2">
      <c r="A826" s="15"/>
    </row>
    <row r="827" spans="1:1" x14ac:dyDescent="0.2">
      <c r="A827" s="13" t="s">
        <v>141</v>
      </c>
    </row>
    <row r="828" spans="1:1" x14ac:dyDescent="0.2">
      <c r="A828" s="13" t="s">
        <v>142</v>
      </c>
    </row>
    <row r="829" spans="1:1" x14ac:dyDescent="0.2">
      <c r="A829" s="15"/>
    </row>
    <row r="830" spans="1:1" x14ac:dyDescent="0.2">
      <c r="A830" s="13" t="s">
        <v>143</v>
      </c>
    </row>
    <row r="831" spans="1:1" x14ac:dyDescent="0.2">
      <c r="A831" s="13" t="s">
        <v>144</v>
      </c>
    </row>
    <row r="832" spans="1:1" x14ac:dyDescent="0.2">
      <c r="A832" s="15"/>
    </row>
    <row r="833" spans="1:1" x14ac:dyDescent="0.2">
      <c r="A833" s="13" t="s">
        <v>145</v>
      </c>
    </row>
    <row r="834" spans="1:1" x14ac:dyDescent="0.2">
      <c r="A834" s="13" t="s">
        <v>146</v>
      </c>
    </row>
    <row r="835" spans="1:1" x14ac:dyDescent="0.2">
      <c r="A835" s="15"/>
    </row>
    <row r="836" spans="1:1" x14ac:dyDescent="0.2">
      <c r="A836" s="13" t="s">
        <v>147</v>
      </c>
    </row>
    <row r="837" spans="1:1" x14ac:dyDescent="0.2">
      <c r="A837" s="13" t="s">
        <v>148</v>
      </c>
    </row>
    <row r="838" spans="1:1" x14ac:dyDescent="0.2">
      <c r="A838" s="15"/>
    </row>
    <row r="839" spans="1:1" x14ac:dyDescent="0.2">
      <c r="A839" s="13" t="s">
        <v>149</v>
      </c>
    </row>
    <row r="840" spans="1:1" x14ac:dyDescent="0.2">
      <c r="A840" s="13" t="s">
        <v>150</v>
      </c>
    </row>
    <row r="841" spans="1:1" x14ac:dyDescent="0.2">
      <c r="A841" s="15"/>
    </row>
    <row r="842" spans="1:1" x14ac:dyDescent="0.2">
      <c r="A842" s="13" t="s">
        <v>151</v>
      </c>
    </row>
    <row r="843" spans="1:1" x14ac:dyDescent="0.2">
      <c r="A843" s="13" t="s">
        <v>152</v>
      </c>
    </row>
    <row r="844" spans="1:1" x14ac:dyDescent="0.2">
      <c r="A844" s="15"/>
    </row>
    <row r="845" spans="1:1" x14ac:dyDescent="0.2">
      <c r="A845" s="13" t="s">
        <v>153</v>
      </c>
    </row>
    <row r="846" spans="1:1" x14ac:dyDescent="0.2">
      <c r="A846" s="13" t="s">
        <v>154</v>
      </c>
    </row>
    <row r="847" spans="1:1" x14ac:dyDescent="0.2">
      <c r="A847" s="15"/>
    </row>
    <row r="848" spans="1:1" x14ac:dyDescent="0.2">
      <c r="A848" s="13" t="s">
        <v>155</v>
      </c>
    </row>
    <row r="849" spans="1:1" x14ac:dyDescent="0.2">
      <c r="A849" s="13" t="s">
        <v>156</v>
      </c>
    </row>
    <row r="850" spans="1:1" x14ac:dyDescent="0.2">
      <c r="A850" s="15"/>
    </row>
    <row r="851" spans="1:1" x14ac:dyDescent="0.2">
      <c r="A851" s="13" t="s">
        <v>157</v>
      </c>
    </row>
    <row r="852" spans="1:1" x14ac:dyDescent="0.2">
      <c r="A852" s="13" t="s">
        <v>158</v>
      </c>
    </row>
    <row r="853" spans="1:1" x14ac:dyDescent="0.2">
      <c r="A853" s="15"/>
    </row>
    <row r="854" spans="1:1" x14ac:dyDescent="0.2">
      <c r="A854" s="13" t="s">
        <v>159</v>
      </c>
    </row>
    <row r="855" spans="1:1" x14ac:dyDescent="0.2">
      <c r="A855" s="13" t="s">
        <v>160</v>
      </c>
    </row>
    <row r="856" spans="1:1" x14ac:dyDescent="0.2">
      <c r="A856" s="15"/>
    </row>
    <row r="857" spans="1:1" x14ac:dyDescent="0.2">
      <c r="A857" s="13" t="s">
        <v>161</v>
      </c>
    </row>
    <row r="858" spans="1:1" x14ac:dyDescent="0.2">
      <c r="A858" s="13" t="s">
        <v>162</v>
      </c>
    </row>
    <row r="859" spans="1:1" x14ac:dyDescent="0.2">
      <c r="A859" s="15"/>
    </row>
    <row r="860" spans="1:1" x14ac:dyDescent="0.2">
      <c r="A860" s="13" t="s">
        <v>163</v>
      </c>
    </row>
    <row r="861" spans="1:1" x14ac:dyDescent="0.2">
      <c r="A861" s="13" t="s">
        <v>164</v>
      </c>
    </row>
    <row r="862" spans="1:1" x14ac:dyDescent="0.2">
      <c r="A862" s="15"/>
    </row>
    <row r="863" spans="1:1" x14ac:dyDescent="0.2">
      <c r="A863" s="13" t="s">
        <v>165</v>
      </c>
    </row>
    <row r="864" spans="1:1" x14ac:dyDescent="0.2">
      <c r="A864" s="13" t="s">
        <v>166</v>
      </c>
    </row>
    <row r="865" spans="1:1" x14ac:dyDescent="0.2">
      <c r="A865" s="15"/>
    </row>
    <row r="866" spans="1:1" x14ac:dyDescent="0.2">
      <c r="A866" s="13" t="s">
        <v>167</v>
      </c>
    </row>
    <row r="867" spans="1:1" x14ac:dyDescent="0.2">
      <c r="A867" s="13" t="s">
        <v>168</v>
      </c>
    </row>
    <row r="868" spans="1:1" x14ac:dyDescent="0.2">
      <c r="A868" s="15"/>
    </row>
    <row r="869" spans="1:1" x14ac:dyDescent="0.2">
      <c r="A869" s="13" t="s">
        <v>169</v>
      </c>
    </row>
    <row r="870" spans="1:1" x14ac:dyDescent="0.2">
      <c r="A870" s="13" t="s">
        <v>170</v>
      </c>
    </row>
    <row r="871" spans="1:1" x14ac:dyDescent="0.2">
      <c r="A871" s="15"/>
    </row>
    <row r="872" spans="1:1" x14ac:dyDescent="0.2">
      <c r="A872" s="13" t="s">
        <v>171</v>
      </c>
    </row>
    <row r="873" spans="1:1" x14ac:dyDescent="0.2">
      <c r="A873" s="13" t="s">
        <v>172</v>
      </c>
    </row>
    <row r="874" spans="1:1" x14ac:dyDescent="0.2">
      <c r="A874" s="15"/>
    </row>
    <row r="875" spans="1:1" x14ac:dyDescent="0.2">
      <c r="A875" s="13" t="s">
        <v>173</v>
      </c>
    </row>
    <row r="876" spans="1:1" x14ac:dyDescent="0.2">
      <c r="A876" s="13" t="s">
        <v>174</v>
      </c>
    </row>
    <row r="877" spans="1:1" x14ac:dyDescent="0.2">
      <c r="A877" s="15"/>
    </row>
    <row r="878" spans="1:1" x14ac:dyDescent="0.2">
      <c r="A878" s="13" t="s">
        <v>175</v>
      </c>
    </row>
    <row r="879" spans="1:1" x14ac:dyDescent="0.2">
      <c r="A879" s="13" t="s">
        <v>176</v>
      </c>
    </row>
    <row r="880" spans="1:1" x14ac:dyDescent="0.2">
      <c r="A880" s="15"/>
    </row>
    <row r="881" spans="1:1" x14ac:dyDescent="0.2">
      <c r="A881" s="13" t="s">
        <v>177</v>
      </c>
    </row>
    <row r="882" spans="1:1" x14ac:dyDescent="0.2">
      <c r="A882" s="13" t="s">
        <v>178</v>
      </c>
    </row>
    <row r="883" spans="1:1" x14ac:dyDescent="0.2">
      <c r="A883" s="15"/>
    </row>
    <row r="884" spans="1:1" x14ac:dyDescent="0.2">
      <c r="A884" s="13" t="s">
        <v>179</v>
      </c>
    </row>
    <row r="885" spans="1:1" x14ac:dyDescent="0.2">
      <c r="A885" s="13" t="s">
        <v>180</v>
      </c>
    </row>
    <row r="886" spans="1:1" x14ac:dyDescent="0.2">
      <c r="A886" s="15"/>
    </row>
    <row r="887" spans="1:1" x14ac:dyDescent="0.2">
      <c r="A887" s="13" t="s">
        <v>181</v>
      </c>
    </row>
    <row r="888" spans="1:1" x14ac:dyDescent="0.2">
      <c r="A888" s="13" t="s">
        <v>182</v>
      </c>
    </row>
    <row r="889" spans="1:1" x14ac:dyDescent="0.2">
      <c r="A889" s="15"/>
    </row>
    <row r="890" spans="1:1" x14ac:dyDescent="0.2">
      <c r="A890" s="13" t="s">
        <v>183</v>
      </c>
    </row>
    <row r="891" spans="1:1" x14ac:dyDescent="0.2">
      <c r="A891" s="13" t="s">
        <v>184</v>
      </c>
    </row>
    <row r="892" spans="1:1" x14ac:dyDescent="0.2">
      <c r="A892" s="15"/>
    </row>
    <row r="893" spans="1:1" x14ac:dyDescent="0.2">
      <c r="A893" s="13" t="s">
        <v>185</v>
      </c>
    </row>
    <row r="894" spans="1:1" x14ac:dyDescent="0.2">
      <c r="A894" s="13" t="s">
        <v>186</v>
      </c>
    </row>
    <row r="895" spans="1:1" x14ac:dyDescent="0.2">
      <c r="A895" s="15"/>
    </row>
    <row r="896" spans="1:1" x14ac:dyDescent="0.2">
      <c r="A896" s="13" t="s">
        <v>187</v>
      </c>
    </row>
    <row r="897" spans="1:1" x14ac:dyDescent="0.2">
      <c r="A897" s="13" t="s">
        <v>188</v>
      </c>
    </row>
    <row r="898" spans="1:1" x14ac:dyDescent="0.2">
      <c r="A898" s="15"/>
    </row>
    <row r="899" spans="1:1" x14ac:dyDescent="0.2">
      <c r="A899" s="13" t="s">
        <v>189</v>
      </c>
    </row>
    <row r="900" spans="1:1" x14ac:dyDescent="0.2">
      <c r="A900" s="13" t="s">
        <v>190</v>
      </c>
    </row>
    <row r="901" spans="1:1" x14ac:dyDescent="0.2">
      <c r="A901" s="15"/>
    </row>
    <row r="902" spans="1:1" x14ac:dyDescent="0.2">
      <c r="A902" s="13" t="s">
        <v>191</v>
      </c>
    </row>
    <row r="903" spans="1:1" x14ac:dyDescent="0.2">
      <c r="A903" s="13" t="s">
        <v>192</v>
      </c>
    </row>
    <row r="904" spans="1:1" x14ac:dyDescent="0.2">
      <c r="A904" s="15"/>
    </row>
    <row r="905" spans="1:1" x14ac:dyDescent="0.2">
      <c r="A905" s="13" t="s">
        <v>193</v>
      </c>
    </row>
    <row r="906" spans="1:1" x14ac:dyDescent="0.2">
      <c r="A906" s="13" t="s">
        <v>194</v>
      </c>
    </row>
    <row r="907" spans="1:1" x14ac:dyDescent="0.2">
      <c r="A907" s="15"/>
    </row>
    <row r="908" spans="1:1" x14ac:dyDescent="0.2">
      <c r="A908" s="13" t="s">
        <v>195</v>
      </c>
    </row>
    <row r="909" spans="1:1" x14ac:dyDescent="0.2">
      <c r="A909" s="13" t="s">
        <v>196</v>
      </c>
    </row>
    <row r="910" spans="1:1" x14ac:dyDescent="0.2">
      <c r="A910" s="15"/>
    </row>
    <row r="911" spans="1:1" x14ac:dyDescent="0.2">
      <c r="A911" s="13" t="s">
        <v>197</v>
      </c>
    </row>
    <row r="912" spans="1:1" x14ac:dyDescent="0.2">
      <c r="A912" s="13" t="s">
        <v>198</v>
      </c>
    </row>
    <row r="913" spans="1:1" x14ac:dyDescent="0.2">
      <c r="A913" s="15"/>
    </row>
    <row r="914" spans="1:1" x14ac:dyDescent="0.2">
      <c r="A914" s="13" t="s">
        <v>199</v>
      </c>
    </row>
    <row r="915" spans="1:1" x14ac:dyDescent="0.2">
      <c r="A915" s="13" t="s">
        <v>200</v>
      </c>
    </row>
    <row r="916" spans="1:1" x14ac:dyDescent="0.2">
      <c r="A916" s="15"/>
    </row>
    <row r="917" spans="1:1" x14ac:dyDescent="0.2">
      <c r="A917" s="13" t="s">
        <v>201</v>
      </c>
    </row>
    <row r="918" spans="1:1" x14ac:dyDescent="0.2">
      <c r="A918" s="13" t="s">
        <v>202</v>
      </c>
    </row>
    <row r="919" spans="1:1" x14ac:dyDescent="0.2">
      <c r="A919" s="15"/>
    </row>
    <row r="920" spans="1:1" x14ac:dyDescent="0.2">
      <c r="A920" s="13" t="s">
        <v>203</v>
      </c>
    </row>
    <row r="921" spans="1:1" x14ac:dyDescent="0.2">
      <c r="A921" s="13" t="s">
        <v>204</v>
      </c>
    </row>
    <row r="923" spans="1:1" x14ac:dyDescent="0.2">
      <c r="A923" s="13" t="s">
        <v>205</v>
      </c>
    </row>
    <row r="924" spans="1:1" x14ac:dyDescent="0.2">
      <c r="A924" s="15"/>
    </row>
    <row r="925" spans="1:1" x14ac:dyDescent="0.2">
      <c r="A925" s="13" t="s">
        <v>206</v>
      </c>
    </row>
    <row r="926" spans="1:1" x14ac:dyDescent="0.2">
      <c r="A926" s="13" t="s">
        <v>207</v>
      </c>
    </row>
    <row r="927" spans="1:1" x14ac:dyDescent="0.2">
      <c r="A927" s="15"/>
    </row>
    <row r="928" spans="1:1" x14ac:dyDescent="0.2">
      <c r="A928" s="13" t="s">
        <v>208</v>
      </c>
    </row>
    <row r="929" spans="1:1" x14ac:dyDescent="0.2">
      <c r="A929" s="13" t="s">
        <v>209</v>
      </c>
    </row>
    <row r="931" spans="1:1" x14ac:dyDescent="0.2">
      <c r="A931" s="13" t="s">
        <v>375</v>
      </c>
    </row>
    <row r="933" spans="1:1" x14ac:dyDescent="0.2">
      <c r="A933" s="13" t="s">
        <v>9</v>
      </c>
    </row>
    <row r="935" spans="1:1" x14ac:dyDescent="0.2">
      <c r="A935" s="13" t="s">
        <v>378</v>
      </c>
    </row>
    <row r="937" spans="1:1" x14ac:dyDescent="0.2">
      <c r="A937" s="13" t="s">
        <v>379</v>
      </c>
    </row>
    <row r="939" spans="1:1" x14ac:dyDescent="0.2">
      <c r="A939" s="13" t="s">
        <v>380</v>
      </c>
    </row>
    <row r="941" spans="1:1" x14ac:dyDescent="0.2">
      <c r="A941" s="13" t="s">
        <v>381</v>
      </c>
    </row>
    <row r="943" spans="1:1" x14ac:dyDescent="0.2">
      <c r="A943" s="14" t="s">
        <v>382</v>
      </c>
    </row>
    <row r="944" spans="1:1" x14ac:dyDescent="0.2">
      <c r="A944" s="13" t="s">
        <v>383</v>
      </c>
    </row>
    <row r="945" spans="1:10" x14ac:dyDescent="0.2">
      <c r="A945" s="13" t="s">
        <v>371</v>
      </c>
    </row>
    <row r="947" spans="1:10" x14ac:dyDescent="0.2">
      <c r="A947" s="21" t="s">
        <v>384</v>
      </c>
    </row>
    <row r="949" spans="1:10" x14ac:dyDescent="0.2">
      <c r="A949" s="13" t="s">
        <v>385</v>
      </c>
    </row>
    <row r="950" spans="1:10" x14ac:dyDescent="0.2">
      <c r="A950" s="20" t="s">
        <v>371</v>
      </c>
    </row>
    <row r="952" spans="1:10" x14ac:dyDescent="0.2">
      <c r="A952" s="21" t="s">
        <v>386</v>
      </c>
    </row>
    <row r="954" spans="1:10" x14ac:dyDescent="0.2">
      <c r="A954" s="13" t="s">
        <v>387</v>
      </c>
    </row>
    <row r="955" spans="1:10" x14ac:dyDescent="0.2">
      <c r="A955" s="13" t="s">
        <v>388</v>
      </c>
    </row>
    <row r="956" spans="1:10" x14ac:dyDescent="0.2">
      <c r="A956" s="13" t="s">
        <v>389</v>
      </c>
    </row>
    <row r="957" spans="1:10" x14ac:dyDescent="0.2">
      <c r="A957" s="22"/>
      <c r="B957" s="22" t="s">
        <v>390</v>
      </c>
      <c r="C957" s="22" t="s">
        <v>0</v>
      </c>
      <c r="D957" s="22" t="s">
        <v>8</v>
      </c>
      <c r="E957" s="22" t="s">
        <v>391</v>
      </c>
      <c r="F957" s="22" t="s">
        <v>392</v>
      </c>
      <c r="G957" s="22" t="s">
        <v>393</v>
      </c>
      <c r="H957" s="22" t="s">
        <v>394</v>
      </c>
      <c r="I957" s="22" t="s">
        <v>395</v>
      </c>
      <c r="J957" s="22" t="s">
        <v>396</v>
      </c>
    </row>
    <row r="958" spans="1:10" ht="16" customHeight="1" x14ac:dyDescent="0.2">
      <c r="A958" s="97"/>
      <c r="B958" s="95">
        <v>201</v>
      </c>
      <c r="C958" s="77" t="s">
        <v>1101</v>
      </c>
      <c r="D958" s="95" t="s">
        <v>1649</v>
      </c>
      <c r="E958" s="98">
        <v>-1E-3</v>
      </c>
      <c r="F958" s="98">
        <v>-1.2E-2</v>
      </c>
      <c r="G958" s="98">
        <v>-0.10299999999999999</v>
      </c>
      <c r="H958" s="95" t="s">
        <v>1650</v>
      </c>
      <c r="I958" s="95" t="s">
        <v>2129</v>
      </c>
      <c r="J958" s="96" t="s">
        <v>1103</v>
      </c>
    </row>
    <row r="959" spans="1:10" x14ac:dyDescent="0.2">
      <c r="A959" s="97"/>
      <c r="B959" s="95"/>
      <c r="C959" s="77" t="s">
        <v>1102</v>
      </c>
      <c r="D959" s="95"/>
      <c r="E959" s="98"/>
      <c r="F959" s="98"/>
      <c r="G959" s="98"/>
      <c r="H959" s="95"/>
      <c r="I959" s="95"/>
      <c r="J959" s="96"/>
    </row>
    <row r="960" spans="1:10" ht="16" customHeight="1" x14ac:dyDescent="0.2">
      <c r="A960" s="97"/>
      <c r="B960" s="95">
        <v>202</v>
      </c>
      <c r="C960" s="77" t="s">
        <v>1110</v>
      </c>
      <c r="D960" s="95" t="s">
        <v>1602</v>
      </c>
      <c r="E960" s="98">
        <v>-2E-3</v>
      </c>
      <c r="F960" s="98">
        <v>-2E-3</v>
      </c>
      <c r="G960" s="98">
        <v>-3.0000000000000001E-3</v>
      </c>
      <c r="H960" s="95" t="s">
        <v>2238</v>
      </c>
      <c r="I960" s="95" t="s">
        <v>1526</v>
      </c>
      <c r="J960" s="96" t="s">
        <v>1112</v>
      </c>
    </row>
    <row r="961" spans="1:10" x14ac:dyDescent="0.2">
      <c r="A961" s="97"/>
      <c r="B961" s="95"/>
      <c r="C961" s="77" t="s">
        <v>1111</v>
      </c>
      <c r="D961" s="95"/>
      <c r="E961" s="98"/>
      <c r="F961" s="98"/>
      <c r="G961" s="98"/>
      <c r="H961" s="95"/>
      <c r="I961" s="95"/>
      <c r="J961" s="96"/>
    </row>
    <row r="962" spans="1:10" ht="16" customHeight="1" x14ac:dyDescent="0.2">
      <c r="A962" s="97"/>
      <c r="B962" s="95">
        <v>203</v>
      </c>
      <c r="C962" s="77" t="s">
        <v>1107</v>
      </c>
      <c r="D962" s="95" t="s">
        <v>1603</v>
      </c>
      <c r="E962" s="98">
        <v>-3.0000000000000001E-3</v>
      </c>
      <c r="F962" s="98">
        <v>-2E-3</v>
      </c>
      <c r="G962" s="98">
        <v>5.8999999999999997E-2</v>
      </c>
      <c r="H962" s="95" t="s">
        <v>1709</v>
      </c>
      <c r="I962" s="95" t="s">
        <v>1527</v>
      </c>
      <c r="J962" s="96" t="s">
        <v>1109</v>
      </c>
    </row>
    <row r="963" spans="1:10" x14ac:dyDescent="0.2">
      <c r="A963" s="97"/>
      <c r="B963" s="95"/>
      <c r="C963" s="77" t="s">
        <v>1108</v>
      </c>
      <c r="D963" s="95"/>
      <c r="E963" s="98"/>
      <c r="F963" s="98"/>
      <c r="G963" s="98"/>
      <c r="H963" s="95"/>
      <c r="I963" s="95"/>
      <c r="J963" s="96"/>
    </row>
    <row r="964" spans="1:10" ht="16" customHeight="1" x14ac:dyDescent="0.2">
      <c r="A964" s="97"/>
      <c r="B964" s="95">
        <v>205</v>
      </c>
      <c r="C964" s="77" t="s">
        <v>1119</v>
      </c>
      <c r="D964" s="95" t="s">
        <v>2131</v>
      </c>
      <c r="E964" s="98">
        <v>4.0000000000000001E-3</v>
      </c>
      <c r="F964" s="98">
        <v>-2.7E-2</v>
      </c>
      <c r="G964" s="98">
        <v>-0.27300000000000002</v>
      </c>
      <c r="H964" s="95" t="s">
        <v>2132</v>
      </c>
      <c r="I964" s="95" t="s">
        <v>1528</v>
      </c>
      <c r="J964" s="96" t="s">
        <v>1121</v>
      </c>
    </row>
    <row r="965" spans="1:10" x14ac:dyDescent="0.2">
      <c r="A965" s="97"/>
      <c r="B965" s="95"/>
      <c r="C965" s="77" t="s">
        <v>1120</v>
      </c>
      <c r="D965" s="95"/>
      <c r="E965" s="98"/>
      <c r="F965" s="98"/>
      <c r="G965" s="98"/>
      <c r="H965" s="95"/>
      <c r="I965" s="95"/>
      <c r="J965" s="96"/>
    </row>
    <row r="966" spans="1:10" ht="16" customHeight="1" x14ac:dyDescent="0.2">
      <c r="A966" s="97"/>
      <c r="B966" s="95">
        <v>204</v>
      </c>
      <c r="C966" s="77" t="s">
        <v>1015</v>
      </c>
      <c r="D966" s="95" t="s">
        <v>1710</v>
      </c>
      <c r="E966" s="98">
        <v>-1.4999999999999999E-2</v>
      </c>
      <c r="F966" s="98">
        <v>-6.3E-2</v>
      </c>
      <c r="G966" s="98">
        <v>7.2999999999999995E-2</v>
      </c>
      <c r="H966" s="95" t="s">
        <v>2130</v>
      </c>
      <c r="I966" s="95" t="s">
        <v>2239</v>
      </c>
      <c r="J966" s="96" t="s">
        <v>1017</v>
      </c>
    </row>
    <row r="967" spans="1:10" x14ac:dyDescent="0.2">
      <c r="A967" s="97"/>
      <c r="B967" s="95"/>
      <c r="C967" s="77" t="s">
        <v>1016</v>
      </c>
      <c r="D967" s="95"/>
      <c r="E967" s="98"/>
      <c r="F967" s="98"/>
      <c r="G967" s="98"/>
      <c r="H967" s="95"/>
      <c r="I967" s="95"/>
      <c r="J967" s="96"/>
    </row>
    <row r="968" spans="1:10" ht="16" customHeight="1" x14ac:dyDescent="0.2">
      <c r="A968" s="97"/>
      <c r="B968" s="95">
        <v>206</v>
      </c>
      <c r="C968" s="77" t="s">
        <v>1149</v>
      </c>
      <c r="D968" s="95" t="s">
        <v>2133</v>
      </c>
      <c r="E968" s="98">
        <v>3.0000000000000001E-3</v>
      </c>
      <c r="F968" s="98">
        <v>-1.0999999999999999E-2</v>
      </c>
      <c r="G968" s="98">
        <v>-3.5000000000000003E-2</v>
      </c>
      <c r="H968" s="95" t="s">
        <v>2134</v>
      </c>
      <c r="I968" s="95" t="s">
        <v>1529</v>
      </c>
      <c r="J968" s="96" t="s">
        <v>1151</v>
      </c>
    </row>
    <row r="969" spans="1:10" x14ac:dyDescent="0.2">
      <c r="A969" s="97"/>
      <c r="B969" s="95"/>
      <c r="C969" s="77" t="s">
        <v>1150</v>
      </c>
      <c r="D969" s="95"/>
      <c r="E969" s="98"/>
      <c r="F969" s="98"/>
      <c r="G969" s="98"/>
      <c r="H969" s="95"/>
      <c r="I969" s="95"/>
      <c r="J969" s="96"/>
    </row>
    <row r="970" spans="1:10" ht="16" customHeight="1" x14ac:dyDescent="0.2">
      <c r="A970" s="97"/>
      <c r="B970" s="95">
        <v>207</v>
      </c>
      <c r="C970" s="77" t="s">
        <v>1125</v>
      </c>
      <c r="D970" s="95" t="s">
        <v>2135</v>
      </c>
      <c r="E970" s="98">
        <v>-2E-3</v>
      </c>
      <c r="F970" s="98">
        <v>-6.0000000000000001E-3</v>
      </c>
      <c r="G970" s="98">
        <v>-7.0000000000000007E-2</v>
      </c>
      <c r="H970" s="95" t="s">
        <v>2136</v>
      </c>
      <c r="I970" s="95" t="s">
        <v>1530</v>
      </c>
      <c r="J970" s="96" t="s">
        <v>1127</v>
      </c>
    </row>
    <row r="971" spans="1:10" x14ac:dyDescent="0.2">
      <c r="A971" s="97"/>
      <c r="B971" s="95"/>
      <c r="C971" s="77" t="s">
        <v>1126</v>
      </c>
      <c r="D971" s="95"/>
      <c r="E971" s="98"/>
      <c r="F971" s="98"/>
      <c r="G971" s="98"/>
      <c r="H971" s="95"/>
      <c r="I971" s="95"/>
      <c r="J971" s="96"/>
    </row>
    <row r="972" spans="1:10" ht="16" customHeight="1" x14ac:dyDescent="0.2">
      <c r="A972" s="97"/>
      <c r="B972" s="95">
        <v>208</v>
      </c>
      <c r="C972" s="77" t="s">
        <v>1122</v>
      </c>
      <c r="D972" s="95" t="s">
        <v>2240</v>
      </c>
      <c r="E972" s="98">
        <v>-2E-3</v>
      </c>
      <c r="F972" s="98">
        <v>-3.5000000000000003E-2</v>
      </c>
      <c r="G972" s="98">
        <v>4.3999999999999997E-2</v>
      </c>
      <c r="H972" s="95" t="s">
        <v>2241</v>
      </c>
      <c r="I972" s="95" t="s">
        <v>2137</v>
      </c>
      <c r="J972" s="96" t="s">
        <v>1124</v>
      </c>
    </row>
    <row r="973" spans="1:10" x14ac:dyDescent="0.2">
      <c r="A973" s="97"/>
      <c r="B973" s="95"/>
      <c r="C973" s="77" t="s">
        <v>1123</v>
      </c>
      <c r="D973" s="95"/>
      <c r="E973" s="98"/>
      <c r="F973" s="98"/>
      <c r="G973" s="98"/>
      <c r="H973" s="95"/>
      <c r="I973" s="95"/>
      <c r="J973" s="96"/>
    </row>
    <row r="974" spans="1:10" ht="16" customHeight="1" x14ac:dyDescent="0.2">
      <c r="A974" s="97"/>
      <c r="B974" s="95">
        <v>209</v>
      </c>
      <c r="C974" s="77" t="s">
        <v>1094</v>
      </c>
      <c r="D974" s="95" t="s">
        <v>2138</v>
      </c>
      <c r="E974" s="98">
        <v>8.9999999999999993E-3</v>
      </c>
      <c r="F974" s="98">
        <v>-1.0999999999999999E-2</v>
      </c>
      <c r="G974" s="98">
        <v>-7.9000000000000001E-2</v>
      </c>
      <c r="H974" s="95" t="s">
        <v>2139</v>
      </c>
      <c r="I974" s="95" t="s">
        <v>1531</v>
      </c>
      <c r="J974" s="96" t="s">
        <v>1096</v>
      </c>
    </row>
    <row r="975" spans="1:10" x14ac:dyDescent="0.2">
      <c r="A975" s="97"/>
      <c r="B975" s="95"/>
      <c r="C975" s="77" t="s">
        <v>1095</v>
      </c>
      <c r="D975" s="95"/>
      <c r="E975" s="98"/>
      <c r="F975" s="98"/>
      <c r="G975" s="98"/>
      <c r="H975" s="95"/>
      <c r="I975" s="95"/>
      <c r="J975" s="96"/>
    </row>
    <row r="976" spans="1:10" ht="16" customHeight="1" x14ac:dyDescent="0.2">
      <c r="A976" s="97"/>
      <c r="B976" s="95">
        <v>210</v>
      </c>
      <c r="C976" s="77" t="s">
        <v>1113</v>
      </c>
      <c r="D976" s="95" t="s">
        <v>2242</v>
      </c>
      <c r="E976" s="98">
        <v>-1.6E-2</v>
      </c>
      <c r="F976" s="98">
        <v>-4.7E-2</v>
      </c>
      <c r="G976" s="98">
        <v>-0.23499999999999999</v>
      </c>
      <c r="H976" s="95" t="s">
        <v>2243</v>
      </c>
      <c r="I976" s="95" t="s">
        <v>1532</v>
      </c>
      <c r="J976" s="96" t="s">
        <v>1115</v>
      </c>
    </row>
    <row r="977" spans="1:10" x14ac:dyDescent="0.2">
      <c r="A977" s="97"/>
      <c r="B977" s="95"/>
      <c r="C977" s="77" t="s">
        <v>1114</v>
      </c>
      <c r="D977" s="95"/>
      <c r="E977" s="98"/>
      <c r="F977" s="98"/>
      <c r="G977" s="98"/>
      <c r="H977" s="95"/>
      <c r="I977" s="95"/>
      <c r="J977" s="96"/>
    </row>
    <row r="978" spans="1:10" ht="16" customHeight="1" x14ac:dyDescent="0.2">
      <c r="A978" s="97"/>
      <c r="B978" s="95">
        <v>211</v>
      </c>
      <c r="C978" s="77" t="s">
        <v>1116</v>
      </c>
      <c r="D978" s="95" t="s">
        <v>2244</v>
      </c>
      <c r="E978" s="98">
        <v>0</v>
      </c>
      <c r="F978" s="98">
        <v>-2.5999999999999999E-2</v>
      </c>
      <c r="G978" s="98">
        <v>1.2E-2</v>
      </c>
      <c r="H978" s="95" t="s">
        <v>2245</v>
      </c>
      <c r="I978" s="95" t="s">
        <v>2140</v>
      </c>
      <c r="J978" s="96" t="s">
        <v>1118</v>
      </c>
    </row>
    <row r="979" spans="1:10" x14ac:dyDescent="0.2">
      <c r="A979" s="97"/>
      <c r="B979" s="95"/>
      <c r="C979" s="77" t="s">
        <v>1117</v>
      </c>
      <c r="D979" s="95"/>
      <c r="E979" s="98"/>
      <c r="F979" s="98"/>
      <c r="G979" s="98"/>
      <c r="H979" s="95"/>
      <c r="I979" s="95"/>
      <c r="J979" s="96"/>
    </row>
    <row r="980" spans="1:10" ht="16" customHeight="1" x14ac:dyDescent="0.2">
      <c r="A980" s="97"/>
      <c r="B980" s="95">
        <v>212</v>
      </c>
      <c r="C980" s="77" t="s">
        <v>1131</v>
      </c>
      <c r="D980" s="95" t="s">
        <v>2141</v>
      </c>
      <c r="E980" s="98">
        <v>-1.2999999999999999E-2</v>
      </c>
      <c r="F980" s="98">
        <v>-3.2000000000000001E-2</v>
      </c>
      <c r="G980" s="98">
        <v>-9.6000000000000002E-2</v>
      </c>
      <c r="H980" s="95" t="s">
        <v>2142</v>
      </c>
      <c r="I980" s="95" t="s">
        <v>1533</v>
      </c>
      <c r="J980" s="96" t="s">
        <v>1133</v>
      </c>
    </row>
    <row r="981" spans="1:10" x14ac:dyDescent="0.2">
      <c r="A981" s="97"/>
      <c r="B981" s="95"/>
      <c r="C981" s="77" t="s">
        <v>1132</v>
      </c>
      <c r="D981" s="95"/>
      <c r="E981" s="98"/>
      <c r="F981" s="98"/>
      <c r="G981" s="98"/>
      <c r="H981" s="95"/>
      <c r="I981" s="95"/>
      <c r="J981" s="96"/>
    </row>
    <row r="982" spans="1:10" ht="16" customHeight="1" x14ac:dyDescent="0.2">
      <c r="A982" s="97"/>
      <c r="B982" s="95">
        <v>213</v>
      </c>
      <c r="C982" s="77" t="s">
        <v>1128</v>
      </c>
      <c r="D982" s="95" t="s">
        <v>2143</v>
      </c>
      <c r="E982" s="98">
        <v>1E-3</v>
      </c>
      <c r="F982" s="98">
        <v>-3.0000000000000001E-3</v>
      </c>
      <c r="G982" s="98">
        <v>3.4000000000000002E-2</v>
      </c>
      <c r="H982" s="95" t="s">
        <v>2246</v>
      </c>
      <c r="I982" s="95" t="s">
        <v>2247</v>
      </c>
      <c r="J982" s="96" t="s">
        <v>1130</v>
      </c>
    </row>
    <row r="983" spans="1:10" x14ac:dyDescent="0.2">
      <c r="A983" s="97"/>
      <c r="B983" s="95"/>
      <c r="C983" s="77" t="s">
        <v>1129</v>
      </c>
      <c r="D983" s="95"/>
      <c r="E983" s="98"/>
      <c r="F983" s="98"/>
      <c r="G983" s="98"/>
      <c r="H983" s="95"/>
      <c r="I983" s="95"/>
      <c r="J983" s="96"/>
    </row>
    <row r="984" spans="1:10" ht="16" customHeight="1" x14ac:dyDescent="0.2">
      <c r="A984" s="97"/>
      <c r="B984" s="95">
        <v>214</v>
      </c>
      <c r="C984" s="77" t="s">
        <v>922</v>
      </c>
      <c r="D984" s="95" t="s">
        <v>1651</v>
      </c>
      <c r="E984" s="98">
        <v>1E-3</v>
      </c>
      <c r="F984" s="98">
        <v>-3.2000000000000001E-2</v>
      </c>
      <c r="G984" s="98">
        <v>-0.23799999999999999</v>
      </c>
      <c r="H984" s="95" t="s">
        <v>2144</v>
      </c>
      <c r="I984" s="95" t="s">
        <v>1534</v>
      </c>
      <c r="J984" s="96" t="s">
        <v>924</v>
      </c>
    </row>
    <row r="985" spans="1:10" x14ac:dyDescent="0.2">
      <c r="A985" s="97"/>
      <c r="B985" s="95"/>
      <c r="C985" s="77" t="s">
        <v>923</v>
      </c>
      <c r="D985" s="95"/>
      <c r="E985" s="98"/>
      <c r="F985" s="98"/>
      <c r="G985" s="98"/>
      <c r="H985" s="95"/>
      <c r="I985" s="95"/>
      <c r="J985" s="96"/>
    </row>
    <row r="986" spans="1:10" ht="16" customHeight="1" x14ac:dyDescent="0.2">
      <c r="A986" s="97"/>
      <c r="B986" s="95">
        <v>215</v>
      </c>
      <c r="C986" s="77" t="s">
        <v>1308</v>
      </c>
      <c r="D986" s="95" t="s">
        <v>1711</v>
      </c>
      <c r="E986" s="98">
        <v>1E-3</v>
      </c>
      <c r="F986" s="98">
        <v>4.1000000000000002E-2</v>
      </c>
      <c r="G986" s="98">
        <v>0.54800000000000004</v>
      </c>
      <c r="H986" s="95" t="s">
        <v>1712</v>
      </c>
      <c r="I986" s="95" t="s">
        <v>1535</v>
      </c>
      <c r="J986" s="96" t="s">
        <v>1310</v>
      </c>
    </row>
    <row r="987" spans="1:10" x14ac:dyDescent="0.2">
      <c r="A987" s="97"/>
      <c r="B987" s="95"/>
      <c r="C987" s="77" t="s">
        <v>1309</v>
      </c>
      <c r="D987" s="95"/>
      <c r="E987" s="98"/>
      <c r="F987" s="98"/>
      <c r="G987" s="98"/>
      <c r="H987" s="95"/>
      <c r="I987" s="95"/>
      <c r="J987" s="96"/>
    </row>
    <row r="988" spans="1:10" ht="16" customHeight="1" x14ac:dyDescent="0.2">
      <c r="A988" s="97"/>
      <c r="B988" s="95">
        <v>216</v>
      </c>
      <c r="C988" s="77" t="s">
        <v>1332</v>
      </c>
      <c r="D988" s="95" t="s">
        <v>2248</v>
      </c>
      <c r="E988" s="98">
        <v>-1E-3</v>
      </c>
      <c r="F988" s="98">
        <v>-5.0000000000000001E-3</v>
      </c>
      <c r="G988" s="98">
        <v>6.0000000000000001E-3</v>
      </c>
      <c r="H988" s="95" t="s">
        <v>2249</v>
      </c>
      <c r="I988" s="95" t="s">
        <v>1536</v>
      </c>
      <c r="J988" s="96" t="s">
        <v>1334</v>
      </c>
    </row>
    <row r="989" spans="1:10" x14ac:dyDescent="0.2">
      <c r="A989" s="97"/>
      <c r="B989" s="95"/>
      <c r="C989" s="77" t="s">
        <v>1333</v>
      </c>
      <c r="D989" s="95"/>
      <c r="E989" s="98"/>
      <c r="F989" s="98"/>
      <c r="G989" s="98"/>
      <c r="H989" s="95"/>
      <c r="I989" s="95"/>
      <c r="J989" s="96"/>
    </row>
    <row r="990" spans="1:10" ht="16" customHeight="1" x14ac:dyDescent="0.2">
      <c r="A990" s="97"/>
      <c r="B990" s="95">
        <v>217</v>
      </c>
      <c r="C990" s="77" t="s">
        <v>1140</v>
      </c>
      <c r="D990" s="95" t="s">
        <v>1652</v>
      </c>
      <c r="E990" s="99"/>
      <c r="F990" s="98">
        <v>-8.8999999999999996E-2</v>
      </c>
      <c r="G990" s="98">
        <v>-0.20599999999999999</v>
      </c>
      <c r="H990" s="95" t="s">
        <v>1653</v>
      </c>
      <c r="I990" s="95" t="s">
        <v>1417</v>
      </c>
      <c r="J990" s="96" t="s">
        <v>1142</v>
      </c>
    </row>
    <row r="991" spans="1:10" x14ac:dyDescent="0.2">
      <c r="A991" s="97"/>
      <c r="B991" s="95"/>
      <c r="C991" s="77" t="s">
        <v>1141</v>
      </c>
      <c r="D991" s="95"/>
      <c r="E991" s="99"/>
      <c r="F991" s="98"/>
      <c r="G991" s="98"/>
      <c r="H991" s="95"/>
      <c r="I991" s="95"/>
      <c r="J991" s="96"/>
    </row>
    <row r="992" spans="1:10" ht="16" customHeight="1" x14ac:dyDescent="0.2">
      <c r="A992" s="97"/>
      <c r="B992" s="95">
        <v>218</v>
      </c>
      <c r="C992" s="77" t="s">
        <v>1152</v>
      </c>
      <c r="D992" s="95" t="s">
        <v>2145</v>
      </c>
      <c r="E992" s="98">
        <v>0</v>
      </c>
      <c r="F992" s="98">
        <v>-1.9E-2</v>
      </c>
      <c r="G992" s="98">
        <v>-2.3E-2</v>
      </c>
      <c r="H992" s="95" t="s">
        <v>2146</v>
      </c>
      <c r="I992" s="95" t="s">
        <v>2147</v>
      </c>
      <c r="J992" s="96" t="s">
        <v>1154</v>
      </c>
    </row>
    <row r="993" spans="1:10" x14ac:dyDescent="0.2">
      <c r="A993" s="97"/>
      <c r="B993" s="95"/>
      <c r="C993" s="77" t="s">
        <v>1153</v>
      </c>
      <c r="D993" s="95"/>
      <c r="E993" s="98"/>
      <c r="F993" s="98"/>
      <c r="G993" s="98"/>
      <c r="H993" s="95"/>
      <c r="I993" s="95"/>
      <c r="J993" s="96"/>
    </row>
    <row r="994" spans="1:10" ht="16" customHeight="1" x14ac:dyDescent="0.2">
      <c r="A994" s="97"/>
      <c r="B994" s="95">
        <v>219</v>
      </c>
      <c r="C994" s="77" t="s">
        <v>1134</v>
      </c>
      <c r="D994" s="95" t="s">
        <v>2250</v>
      </c>
      <c r="E994" s="98">
        <v>-3.0000000000000001E-3</v>
      </c>
      <c r="F994" s="98">
        <v>-0.03</v>
      </c>
      <c r="G994" s="98">
        <v>-8.5000000000000006E-2</v>
      </c>
      <c r="H994" s="95" t="s">
        <v>2251</v>
      </c>
      <c r="I994" s="95" t="s">
        <v>1537</v>
      </c>
      <c r="J994" s="96" t="s">
        <v>1136</v>
      </c>
    </row>
    <row r="995" spans="1:10" x14ac:dyDescent="0.2">
      <c r="A995" s="97"/>
      <c r="B995" s="95"/>
      <c r="C995" s="77" t="s">
        <v>1135</v>
      </c>
      <c r="D995" s="95"/>
      <c r="E995" s="98"/>
      <c r="F995" s="98"/>
      <c r="G995" s="98"/>
      <c r="H995" s="95"/>
      <c r="I995" s="95"/>
      <c r="J995" s="96"/>
    </row>
    <row r="996" spans="1:10" ht="16" customHeight="1" x14ac:dyDescent="0.2">
      <c r="A996" s="97"/>
      <c r="B996" s="95">
        <v>220</v>
      </c>
      <c r="C996" s="77" t="s">
        <v>1143</v>
      </c>
      <c r="D996" s="95" t="s">
        <v>1654</v>
      </c>
      <c r="E996" s="98">
        <v>-1.7000000000000001E-2</v>
      </c>
      <c r="F996" s="98">
        <v>-5.0999999999999997E-2</v>
      </c>
      <c r="G996" s="98">
        <v>7.0000000000000001E-3</v>
      </c>
      <c r="H996" s="95" t="s">
        <v>1655</v>
      </c>
      <c r="I996" s="95" t="s">
        <v>1538</v>
      </c>
      <c r="J996" s="96" t="s">
        <v>1145</v>
      </c>
    </row>
    <row r="997" spans="1:10" x14ac:dyDescent="0.2">
      <c r="A997" s="97"/>
      <c r="B997" s="95"/>
      <c r="C997" s="77" t="s">
        <v>1144</v>
      </c>
      <c r="D997" s="95"/>
      <c r="E997" s="98"/>
      <c r="F997" s="98"/>
      <c r="G997" s="98"/>
      <c r="H997" s="95"/>
      <c r="I997" s="95"/>
      <c r="J997" s="96"/>
    </row>
    <row r="998" spans="1:10" ht="16" customHeight="1" x14ac:dyDescent="0.2">
      <c r="A998" s="97"/>
      <c r="B998" s="95">
        <v>221</v>
      </c>
      <c r="C998" s="77" t="s">
        <v>1155</v>
      </c>
      <c r="D998" s="95" t="s">
        <v>2148</v>
      </c>
      <c r="E998" s="98">
        <v>-3.0000000000000001E-3</v>
      </c>
      <c r="F998" s="98">
        <v>-8.9999999999999993E-3</v>
      </c>
      <c r="G998" s="98">
        <v>1.4999999999999999E-2</v>
      </c>
      <c r="H998" s="95" t="s">
        <v>2149</v>
      </c>
      <c r="I998" s="95" t="s">
        <v>1539</v>
      </c>
      <c r="J998" s="96" t="s">
        <v>1157</v>
      </c>
    </row>
    <row r="999" spans="1:10" x14ac:dyDescent="0.2">
      <c r="A999" s="97"/>
      <c r="B999" s="95"/>
      <c r="C999" s="77" t="s">
        <v>1156</v>
      </c>
      <c r="D999" s="95"/>
      <c r="E999" s="98"/>
      <c r="F999" s="98"/>
      <c r="G999" s="98"/>
      <c r="H999" s="95"/>
      <c r="I999" s="95"/>
      <c r="J999" s="96"/>
    </row>
    <row r="1000" spans="1:10" ht="16" customHeight="1" x14ac:dyDescent="0.2">
      <c r="A1000" s="97"/>
      <c r="B1000" s="95">
        <v>222</v>
      </c>
      <c r="C1000" s="77" t="s">
        <v>1179</v>
      </c>
      <c r="D1000" s="95" t="s">
        <v>1656</v>
      </c>
      <c r="E1000" s="98">
        <v>7.0000000000000001E-3</v>
      </c>
      <c r="F1000" s="98">
        <v>-3.5999999999999997E-2</v>
      </c>
      <c r="G1000" s="98">
        <v>7.0000000000000001E-3</v>
      </c>
      <c r="H1000" s="95" t="s">
        <v>2150</v>
      </c>
      <c r="I1000" s="95" t="s">
        <v>1540</v>
      </c>
      <c r="J1000" s="96" t="s">
        <v>1181</v>
      </c>
    </row>
    <row r="1001" spans="1:10" x14ac:dyDescent="0.2">
      <c r="A1001" s="97"/>
      <c r="B1001" s="95"/>
      <c r="C1001" s="77" t="s">
        <v>1180</v>
      </c>
      <c r="D1001" s="95"/>
      <c r="E1001" s="98"/>
      <c r="F1001" s="98"/>
      <c r="G1001" s="98"/>
      <c r="H1001" s="95"/>
      <c r="I1001" s="95"/>
      <c r="J1001" s="96"/>
    </row>
    <row r="1002" spans="1:10" ht="16" customHeight="1" x14ac:dyDescent="0.2">
      <c r="A1002" s="97"/>
      <c r="B1002" s="95">
        <v>223</v>
      </c>
      <c r="C1002" s="77" t="s">
        <v>1194</v>
      </c>
      <c r="D1002" s="95" t="s">
        <v>1605</v>
      </c>
      <c r="E1002" s="99"/>
      <c r="F1002" s="98">
        <v>-7.0000000000000001E-3</v>
      </c>
      <c r="G1002" s="98">
        <v>-4.0000000000000001E-3</v>
      </c>
      <c r="H1002" s="95" t="s">
        <v>1606</v>
      </c>
      <c r="I1002" s="95" t="s">
        <v>2252</v>
      </c>
      <c r="J1002" s="96" t="s">
        <v>1196</v>
      </c>
    </row>
    <row r="1003" spans="1:10" x14ac:dyDescent="0.2">
      <c r="A1003" s="97"/>
      <c r="B1003" s="95"/>
      <c r="C1003" s="77" t="s">
        <v>1195</v>
      </c>
      <c r="D1003" s="95"/>
      <c r="E1003" s="99"/>
      <c r="F1003" s="98"/>
      <c r="G1003" s="98"/>
      <c r="H1003" s="95"/>
      <c r="I1003" s="95"/>
      <c r="J1003" s="96"/>
    </row>
    <row r="1004" spans="1:10" ht="16" customHeight="1" x14ac:dyDescent="0.2">
      <c r="A1004" s="97"/>
      <c r="B1004" s="95">
        <v>224</v>
      </c>
      <c r="C1004" s="77" t="s">
        <v>1182</v>
      </c>
      <c r="D1004" s="95" t="s">
        <v>1713</v>
      </c>
      <c r="E1004" s="98">
        <v>6.0000000000000001E-3</v>
      </c>
      <c r="F1004" s="98">
        <v>-8.9999999999999993E-3</v>
      </c>
      <c r="G1004" s="98">
        <v>6.3E-2</v>
      </c>
      <c r="H1004" s="95" t="s">
        <v>1714</v>
      </c>
      <c r="I1004" s="95" t="s">
        <v>1541</v>
      </c>
      <c r="J1004" s="96" t="s">
        <v>1184</v>
      </c>
    </row>
    <row r="1005" spans="1:10" x14ac:dyDescent="0.2">
      <c r="A1005" s="97"/>
      <c r="B1005" s="95"/>
      <c r="C1005" s="77" t="s">
        <v>1183</v>
      </c>
      <c r="D1005" s="95"/>
      <c r="E1005" s="98"/>
      <c r="F1005" s="98"/>
      <c r="G1005" s="98"/>
      <c r="H1005" s="95"/>
      <c r="I1005" s="95"/>
      <c r="J1005" s="96"/>
    </row>
    <row r="1006" spans="1:10" ht="16" customHeight="1" x14ac:dyDescent="0.2">
      <c r="A1006" s="97"/>
      <c r="B1006" s="95">
        <v>225</v>
      </c>
      <c r="C1006" s="77" t="s">
        <v>1176</v>
      </c>
      <c r="D1006" s="95" t="s">
        <v>2253</v>
      </c>
      <c r="E1006" s="98">
        <v>1E-3</v>
      </c>
      <c r="F1006" s="98">
        <v>0</v>
      </c>
      <c r="G1006" s="98">
        <v>-5.8000000000000003E-2</v>
      </c>
      <c r="H1006" s="95" t="s">
        <v>2254</v>
      </c>
      <c r="I1006" s="95" t="s">
        <v>1542</v>
      </c>
      <c r="J1006" s="96" t="s">
        <v>1178</v>
      </c>
    </row>
    <row r="1007" spans="1:10" x14ac:dyDescent="0.2">
      <c r="A1007" s="97"/>
      <c r="B1007" s="95"/>
      <c r="C1007" s="77" t="s">
        <v>1177</v>
      </c>
      <c r="D1007" s="95"/>
      <c r="E1007" s="98"/>
      <c r="F1007" s="98"/>
      <c r="G1007" s="98"/>
      <c r="H1007" s="95"/>
      <c r="I1007" s="95"/>
      <c r="J1007" s="96"/>
    </row>
    <row r="1008" spans="1:10" ht="16" customHeight="1" x14ac:dyDescent="0.2">
      <c r="A1008" s="97"/>
      <c r="B1008" s="95">
        <v>228</v>
      </c>
      <c r="C1008" s="77" t="s">
        <v>1191</v>
      </c>
      <c r="D1008" s="95" t="s">
        <v>1657</v>
      </c>
      <c r="E1008" s="98">
        <v>-8.0000000000000002E-3</v>
      </c>
      <c r="F1008" s="98">
        <v>2E-3</v>
      </c>
      <c r="G1008" s="98">
        <v>6.8000000000000005E-2</v>
      </c>
      <c r="H1008" s="95" t="s">
        <v>2255</v>
      </c>
      <c r="I1008" s="95" t="s">
        <v>1543</v>
      </c>
      <c r="J1008" s="96" t="s">
        <v>1193</v>
      </c>
    </row>
    <row r="1009" spans="1:10" x14ac:dyDescent="0.2">
      <c r="A1009" s="97"/>
      <c r="B1009" s="95"/>
      <c r="C1009" s="77" t="s">
        <v>1192</v>
      </c>
      <c r="D1009" s="95"/>
      <c r="E1009" s="98"/>
      <c r="F1009" s="98"/>
      <c r="G1009" s="98"/>
      <c r="H1009" s="95"/>
      <c r="I1009" s="95"/>
      <c r="J1009" s="96"/>
    </row>
    <row r="1010" spans="1:10" ht="16" customHeight="1" x14ac:dyDescent="0.2">
      <c r="A1010" s="97"/>
      <c r="B1010" s="95">
        <v>229</v>
      </c>
      <c r="C1010" s="77" t="s">
        <v>1203</v>
      </c>
      <c r="D1010" s="95" t="s">
        <v>2151</v>
      </c>
      <c r="E1010" s="98">
        <v>0.01</v>
      </c>
      <c r="F1010" s="98">
        <v>8.9999999999999993E-3</v>
      </c>
      <c r="G1010" s="98">
        <v>-2.1999999999999999E-2</v>
      </c>
      <c r="H1010" s="95" t="s">
        <v>2152</v>
      </c>
      <c r="I1010" s="95" t="s">
        <v>1544</v>
      </c>
      <c r="J1010" s="96" t="s">
        <v>1205</v>
      </c>
    </row>
    <row r="1011" spans="1:10" x14ac:dyDescent="0.2">
      <c r="A1011" s="97"/>
      <c r="B1011" s="95"/>
      <c r="C1011" s="77" t="s">
        <v>1204</v>
      </c>
      <c r="D1011" s="95"/>
      <c r="E1011" s="98"/>
      <c r="F1011" s="98"/>
      <c r="G1011" s="98"/>
      <c r="H1011" s="95"/>
      <c r="I1011" s="95"/>
      <c r="J1011" s="96"/>
    </row>
    <row r="1012" spans="1:10" ht="16" customHeight="1" x14ac:dyDescent="0.2">
      <c r="A1012" s="97"/>
      <c r="B1012" s="95">
        <v>226</v>
      </c>
      <c r="C1012" s="77" t="s">
        <v>1158</v>
      </c>
      <c r="D1012" s="95" t="s">
        <v>1644</v>
      </c>
      <c r="E1012" s="98">
        <v>-5.0000000000000001E-3</v>
      </c>
      <c r="F1012" s="98">
        <v>3.0000000000000001E-3</v>
      </c>
      <c r="G1012" s="98">
        <v>8.3000000000000004E-2</v>
      </c>
      <c r="H1012" s="95" t="s">
        <v>2256</v>
      </c>
      <c r="I1012" s="95" t="s">
        <v>2153</v>
      </c>
      <c r="J1012" s="96" t="s">
        <v>1160</v>
      </c>
    </row>
    <row r="1013" spans="1:10" x14ac:dyDescent="0.2">
      <c r="A1013" s="97"/>
      <c r="B1013" s="95"/>
      <c r="C1013" s="77" t="s">
        <v>1159</v>
      </c>
      <c r="D1013" s="95"/>
      <c r="E1013" s="98"/>
      <c r="F1013" s="98"/>
      <c r="G1013" s="98"/>
      <c r="H1013" s="95"/>
      <c r="I1013" s="95"/>
      <c r="J1013" s="96"/>
    </row>
    <row r="1014" spans="1:10" ht="16" customHeight="1" x14ac:dyDescent="0.2">
      <c r="A1014" s="97"/>
      <c r="B1014" s="95">
        <v>230</v>
      </c>
      <c r="C1014" s="77" t="s">
        <v>1173</v>
      </c>
      <c r="D1014" s="95" t="s">
        <v>2257</v>
      </c>
      <c r="E1014" s="98">
        <v>0</v>
      </c>
      <c r="F1014" s="98">
        <v>-2.8000000000000001E-2</v>
      </c>
      <c r="G1014" s="98">
        <v>-3.5999999999999997E-2</v>
      </c>
      <c r="H1014" s="95" t="s">
        <v>2258</v>
      </c>
      <c r="I1014" s="95" t="s">
        <v>1545</v>
      </c>
      <c r="J1014" s="96" t="s">
        <v>1175</v>
      </c>
    </row>
    <row r="1015" spans="1:10" x14ac:dyDescent="0.2">
      <c r="A1015" s="97"/>
      <c r="B1015" s="95"/>
      <c r="C1015" s="77" t="s">
        <v>1174</v>
      </c>
      <c r="D1015" s="95"/>
      <c r="E1015" s="98"/>
      <c r="F1015" s="98"/>
      <c r="G1015" s="98"/>
      <c r="H1015" s="95"/>
      <c r="I1015" s="95"/>
      <c r="J1015" s="96"/>
    </row>
    <row r="1016" spans="1:10" ht="16" customHeight="1" x14ac:dyDescent="0.2">
      <c r="A1016" s="97"/>
      <c r="B1016" s="95">
        <v>231</v>
      </c>
      <c r="C1016" s="77" t="s">
        <v>1170</v>
      </c>
      <c r="D1016" s="95" t="s">
        <v>2259</v>
      </c>
      <c r="E1016" s="98">
        <v>3.0000000000000001E-3</v>
      </c>
      <c r="F1016" s="98">
        <v>-2.8000000000000001E-2</v>
      </c>
      <c r="G1016" s="98">
        <v>9.7000000000000003E-2</v>
      </c>
      <c r="H1016" s="95" t="s">
        <v>2260</v>
      </c>
      <c r="I1016" s="95" t="s">
        <v>1546</v>
      </c>
      <c r="J1016" s="96" t="s">
        <v>1172</v>
      </c>
    </row>
    <row r="1017" spans="1:10" x14ac:dyDescent="0.2">
      <c r="A1017" s="97"/>
      <c r="B1017" s="95"/>
      <c r="C1017" s="77" t="s">
        <v>1171</v>
      </c>
      <c r="D1017" s="95"/>
      <c r="E1017" s="98"/>
      <c r="F1017" s="98"/>
      <c r="G1017" s="98"/>
      <c r="H1017" s="95"/>
      <c r="I1017" s="95"/>
      <c r="J1017" s="96"/>
    </row>
    <row r="1018" spans="1:10" ht="16" customHeight="1" x14ac:dyDescent="0.2">
      <c r="A1018" s="97"/>
      <c r="B1018" s="95">
        <v>227</v>
      </c>
      <c r="C1018" s="77" t="s">
        <v>1167</v>
      </c>
      <c r="D1018" s="95" t="s">
        <v>2154</v>
      </c>
      <c r="E1018" s="98">
        <v>-1.4999999999999999E-2</v>
      </c>
      <c r="F1018" s="98">
        <v>-2.3E-2</v>
      </c>
      <c r="G1018" s="98">
        <v>-1.7999999999999999E-2</v>
      </c>
      <c r="H1018" s="95" t="s">
        <v>2155</v>
      </c>
      <c r="I1018" s="95" t="s">
        <v>2156</v>
      </c>
      <c r="J1018" s="96" t="s">
        <v>1169</v>
      </c>
    </row>
    <row r="1019" spans="1:10" x14ac:dyDescent="0.2">
      <c r="A1019" s="97"/>
      <c r="B1019" s="95"/>
      <c r="C1019" s="77" t="s">
        <v>1168</v>
      </c>
      <c r="D1019" s="95"/>
      <c r="E1019" s="98"/>
      <c r="F1019" s="98"/>
      <c r="G1019" s="98"/>
      <c r="H1019" s="95"/>
      <c r="I1019" s="95"/>
      <c r="J1019" s="96"/>
    </row>
    <row r="1020" spans="1:10" ht="16" customHeight="1" x14ac:dyDescent="0.2">
      <c r="A1020" s="97"/>
      <c r="B1020" s="95">
        <v>232</v>
      </c>
      <c r="C1020" s="77" t="s">
        <v>1164</v>
      </c>
      <c r="D1020" s="95" t="s">
        <v>1658</v>
      </c>
      <c r="E1020" s="98">
        <v>2.1999999999999999E-2</v>
      </c>
      <c r="F1020" s="98">
        <v>-0.03</v>
      </c>
      <c r="G1020" s="98">
        <v>7.0000000000000001E-3</v>
      </c>
      <c r="H1020" s="95" t="s">
        <v>2157</v>
      </c>
      <c r="I1020" s="95" t="s">
        <v>1547</v>
      </c>
      <c r="J1020" s="96" t="s">
        <v>1166</v>
      </c>
    </row>
    <row r="1021" spans="1:10" x14ac:dyDescent="0.2">
      <c r="A1021" s="97"/>
      <c r="B1021" s="95"/>
      <c r="C1021" s="77" t="s">
        <v>1165</v>
      </c>
      <c r="D1021" s="95"/>
      <c r="E1021" s="98"/>
      <c r="F1021" s="98"/>
      <c r="G1021" s="98"/>
      <c r="H1021" s="95"/>
      <c r="I1021" s="95"/>
      <c r="J1021" s="96"/>
    </row>
    <row r="1022" spans="1:10" ht="16" customHeight="1" x14ac:dyDescent="0.2">
      <c r="A1022" s="97"/>
      <c r="B1022" s="95">
        <v>234</v>
      </c>
      <c r="C1022" s="77" t="s">
        <v>1206</v>
      </c>
      <c r="D1022" s="95" t="s">
        <v>1659</v>
      </c>
      <c r="E1022" s="98">
        <v>-6.0000000000000001E-3</v>
      </c>
      <c r="F1022" s="98">
        <v>-1.7000000000000001E-2</v>
      </c>
      <c r="G1022" s="98">
        <v>-8.5000000000000006E-2</v>
      </c>
      <c r="H1022" s="95" t="s">
        <v>1660</v>
      </c>
      <c r="I1022" s="95" t="s">
        <v>1548</v>
      </c>
      <c r="J1022" s="96" t="s">
        <v>1208</v>
      </c>
    </row>
    <row r="1023" spans="1:10" x14ac:dyDescent="0.2">
      <c r="A1023" s="97"/>
      <c r="B1023" s="95"/>
      <c r="C1023" s="77" t="s">
        <v>1207</v>
      </c>
      <c r="D1023" s="95"/>
      <c r="E1023" s="98"/>
      <c r="F1023" s="98"/>
      <c r="G1023" s="98"/>
      <c r="H1023" s="95"/>
      <c r="I1023" s="95"/>
      <c r="J1023" s="96"/>
    </row>
    <row r="1024" spans="1:10" ht="16" customHeight="1" x14ac:dyDescent="0.2">
      <c r="A1024" s="97"/>
      <c r="B1024" s="95">
        <v>233</v>
      </c>
      <c r="C1024" s="77" t="s">
        <v>1146</v>
      </c>
      <c r="D1024" s="95" t="s">
        <v>2158</v>
      </c>
      <c r="E1024" s="98">
        <v>-6.0000000000000001E-3</v>
      </c>
      <c r="F1024" s="98">
        <v>-3.6999999999999998E-2</v>
      </c>
      <c r="G1024" s="98">
        <v>0.34599999999999997</v>
      </c>
      <c r="H1024" s="95" t="s">
        <v>2159</v>
      </c>
      <c r="I1024" s="95" t="s">
        <v>2261</v>
      </c>
      <c r="J1024" s="96" t="s">
        <v>1148</v>
      </c>
    </row>
    <row r="1025" spans="1:10" x14ac:dyDescent="0.2">
      <c r="A1025" s="97"/>
      <c r="B1025" s="95"/>
      <c r="C1025" s="77" t="s">
        <v>1147</v>
      </c>
      <c r="D1025" s="95"/>
      <c r="E1025" s="98"/>
      <c r="F1025" s="98"/>
      <c r="G1025" s="98"/>
      <c r="H1025" s="95"/>
      <c r="I1025" s="95"/>
      <c r="J1025" s="96"/>
    </row>
    <row r="1026" spans="1:10" ht="16" customHeight="1" x14ac:dyDescent="0.2">
      <c r="A1026" s="97"/>
      <c r="B1026" s="95">
        <v>235</v>
      </c>
      <c r="C1026" s="77" t="s">
        <v>1212</v>
      </c>
      <c r="D1026" s="95" t="s">
        <v>1715</v>
      </c>
      <c r="E1026" s="98">
        <v>-4.0000000000000001E-3</v>
      </c>
      <c r="F1026" s="98">
        <v>8.9999999999999993E-3</v>
      </c>
      <c r="G1026" s="98">
        <v>0.06</v>
      </c>
      <c r="H1026" s="95" t="s">
        <v>1716</v>
      </c>
      <c r="I1026" s="95" t="s">
        <v>2160</v>
      </c>
      <c r="J1026" s="96" t="s">
        <v>1214</v>
      </c>
    </row>
    <row r="1027" spans="1:10" x14ac:dyDescent="0.2">
      <c r="A1027" s="97"/>
      <c r="B1027" s="95"/>
      <c r="C1027" s="77" t="s">
        <v>1213</v>
      </c>
      <c r="D1027" s="95"/>
      <c r="E1027" s="98"/>
      <c r="F1027" s="98"/>
      <c r="G1027" s="98"/>
      <c r="H1027" s="95"/>
      <c r="I1027" s="95"/>
      <c r="J1027" s="96"/>
    </row>
    <row r="1028" spans="1:10" ht="16" customHeight="1" x14ac:dyDescent="0.2">
      <c r="A1028" s="97"/>
      <c r="B1028" s="95">
        <v>236</v>
      </c>
      <c r="C1028" s="77" t="s">
        <v>1245</v>
      </c>
      <c r="D1028" s="95" t="s">
        <v>2161</v>
      </c>
      <c r="E1028" s="98">
        <v>-2E-3</v>
      </c>
      <c r="F1028" s="98">
        <v>0.155</v>
      </c>
      <c r="G1028" s="98">
        <v>0.156</v>
      </c>
      <c r="H1028" s="95" t="s">
        <v>2162</v>
      </c>
      <c r="I1028" s="95" t="s">
        <v>1549</v>
      </c>
      <c r="J1028" s="96" t="s">
        <v>1247</v>
      </c>
    </row>
    <row r="1029" spans="1:10" x14ac:dyDescent="0.2">
      <c r="A1029" s="97"/>
      <c r="B1029" s="95"/>
      <c r="C1029" s="77" t="s">
        <v>1246</v>
      </c>
      <c r="D1029" s="95"/>
      <c r="E1029" s="98"/>
      <c r="F1029" s="98"/>
      <c r="G1029" s="98"/>
      <c r="H1029" s="95"/>
      <c r="I1029" s="95"/>
      <c r="J1029" s="96"/>
    </row>
    <row r="1030" spans="1:10" ht="16" customHeight="1" x14ac:dyDescent="0.2">
      <c r="A1030" s="97"/>
      <c r="B1030" s="95">
        <v>237</v>
      </c>
      <c r="C1030" s="77" t="s">
        <v>1197</v>
      </c>
      <c r="D1030" s="95" t="s">
        <v>2163</v>
      </c>
      <c r="E1030" s="98">
        <v>3.0000000000000001E-3</v>
      </c>
      <c r="F1030" s="98">
        <v>-2.4E-2</v>
      </c>
      <c r="G1030" s="98">
        <v>-6.7000000000000004E-2</v>
      </c>
      <c r="H1030" s="95" t="s">
        <v>2164</v>
      </c>
      <c r="I1030" s="95" t="s">
        <v>2165</v>
      </c>
      <c r="J1030" s="96" t="s">
        <v>1199</v>
      </c>
    </row>
    <row r="1031" spans="1:10" x14ac:dyDescent="0.2">
      <c r="A1031" s="97"/>
      <c r="B1031" s="95"/>
      <c r="C1031" s="77" t="s">
        <v>1198</v>
      </c>
      <c r="D1031" s="95"/>
      <c r="E1031" s="98"/>
      <c r="F1031" s="98"/>
      <c r="G1031" s="98"/>
      <c r="H1031" s="95"/>
      <c r="I1031" s="95"/>
      <c r="J1031" s="96"/>
    </row>
    <row r="1032" spans="1:10" ht="16" customHeight="1" x14ac:dyDescent="0.2">
      <c r="A1032" s="97"/>
      <c r="B1032" s="95">
        <v>238</v>
      </c>
      <c r="C1032" s="77" t="s">
        <v>1185</v>
      </c>
      <c r="D1032" s="95" t="s">
        <v>2166</v>
      </c>
      <c r="E1032" s="98">
        <v>-1.4E-2</v>
      </c>
      <c r="F1032" s="98">
        <v>-5.5E-2</v>
      </c>
      <c r="G1032" s="98">
        <v>-0.09</v>
      </c>
      <c r="H1032" s="95" t="s">
        <v>2167</v>
      </c>
      <c r="I1032" s="95" t="s">
        <v>2262</v>
      </c>
      <c r="J1032" s="96" t="s">
        <v>1187</v>
      </c>
    </row>
    <row r="1033" spans="1:10" x14ac:dyDescent="0.2">
      <c r="A1033" s="97"/>
      <c r="B1033" s="95"/>
      <c r="C1033" s="77" t="s">
        <v>1186</v>
      </c>
      <c r="D1033" s="95"/>
      <c r="E1033" s="98"/>
      <c r="F1033" s="98"/>
      <c r="G1033" s="98"/>
      <c r="H1033" s="95"/>
      <c r="I1033" s="95"/>
      <c r="J1033" s="96"/>
    </row>
    <row r="1034" spans="1:10" ht="16" customHeight="1" x14ac:dyDescent="0.2">
      <c r="A1034" s="97"/>
      <c r="B1034" s="95">
        <v>239</v>
      </c>
      <c r="C1034" s="77" t="s">
        <v>1200</v>
      </c>
      <c r="D1034" s="95" t="s">
        <v>2168</v>
      </c>
      <c r="E1034" s="98">
        <v>-5.0000000000000001E-3</v>
      </c>
      <c r="F1034" s="98">
        <v>-8.3000000000000004E-2</v>
      </c>
      <c r="G1034" s="98">
        <v>-0.129</v>
      </c>
      <c r="H1034" s="95" t="s">
        <v>2169</v>
      </c>
      <c r="I1034" s="95" t="s">
        <v>1550</v>
      </c>
      <c r="J1034" s="96" t="s">
        <v>1202</v>
      </c>
    </row>
    <row r="1035" spans="1:10" x14ac:dyDescent="0.2">
      <c r="A1035" s="97"/>
      <c r="B1035" s="95"/>
      <c r="C1035" s="77" t="s">
        <v>1201</v>
      </c>
      <c r="D1035" s="95"/>
      <c r="E1035" s="98"/>
      <c r="F1035" s="98"/>
      <c r="G1035" s="98"/>
      <c r="H1035" s="95"/>
      <c r="I1035" s="95"/>
      <c r="J1035" s="96"/>
    </row>
    <row r="1036" spans="1:10" ht="16" customHeight="1" x14ac:dyDescent="0.2">
      <c r="A1036" s="97"/>
      <c r="B1036" s="95">
        <v>240</v>
      </c>
      <c r="C1036" s="77" t="s">
        <v>1215</v>
      </c>
      <c r="D1036" s="95" t="s">
        <v>1661</v>
      </c>
      <c r="E1036" s="98">
        <v>-7.0000000000000001E-3</v>
      </c>
      <c r="F1036" s="98">
        <v>-0.02</v>
      </c>
      <c r="G1036" s="98">
        <v>3.5000000000000003E-2</v>
      </c>
      <c r="H1036" s="95" t="s">
        <v>1662</v>
      </c>
      <c r="I1036" s="95" t="s">
        <v>2263</v>
      </c>
      <c r="J1036" s="96" t="s">
        <v>1217</v>
      </c>
    </row>
    <row r="1037" spans="1:10" x14ac:dyDescent="0.2">
      <c r="A1037" s="97"/>
      <c r="B1037" s="95"/>
      <c r="C1037" s="77" t="s">
        <v>1216</v>
      </c>
      <c r="D1037" s="95"/>
      <c r="E1037" s="98"/>
      <c r="F1037" s="98"/>
      <c r="G1037" s="98"/>
      <c r="H1037" s="95"/>
      <c r="I1037" s="95"/>
      <c r="J1037" s="96"/>
    </row>
    <row r="1038" spans="1:10" ht="16" customHeight="1" x14ac:dyDescent="0.2">
      <c r="A1038" s="97"/>
      <c r="B1038" s="95">
        <v>241</v>
      </c>
      <c r="C1038" s="77" t="s">
        <v>1188</v>
      </c>
      <c r="D1038" s="95" t="s">
        <v>2264</v>
      </c>
      <c r="E1038" s="98">
        <v>-4.0000000000000001E-3</v>
      </c>
      <c r="F1038" s="98">
        <v>-5.8000000000000003E-2</v>
      </c>
      <c r="G1038" s="98">
        <v>-8.0000000000000002E-3</v>
      </c>
      <c r="H1038" s="95" t="s">
        <v>2265</v>
      </c>
      <c r="I1038" s="95" t="s">
        <v>2266</v>
      </c>
      <c r="J1038" s="96" t="s">
        <v>1190</v>
      </c>
    </row>
    <row r="1039" spans="1:10" x14ac:dyDescent="0.2">
      <c r="A1039" s="97"/>
      <c r="B1039" s="95"/>
      <c r="C1039" s="77" t="s">
        <v>1189</v>
      </c>
      <c r="D1039" s="95"/>
      <c r="E1039" s="98"/>
      <c r="F1039" s="98"/>
      <c r="G1039" s="98"/>
      <c r="H1039" s="95"/>
      <c r="I1039" s="95"/>
      <c r="J1039" s="96"/>
    </row>
    <row r="1040" spans="1:10" ht="16" customHeight="1" x14ac:dyDescent="0.2">
      <c r="A1040" s="97"/>
      <c r="B1040" s="95">
        <v>242</v>
      </c>
      <c r="C1040" s="77" t="s">
        <v>1161</v>
      </c>
      <c r="D1040" s="95" t="s">
        <v>1413</v>
      </c>
      <c r="E1040" s="98">
        <v>5.0000000000000001E-3</v>
      </c>
      <c r="F1040" s="98">
        <v>-5.3999999999999999E-2</v>
      </c>
      <c r="G1040" s="98">
        <v>-0.129</v>
      </c>
      <c r="H1040" s="95" t="s">
        <v>2170</v>
      </c>
      <c r="I1040" s="95" t="s">
        <v>1551</v>
      </c>
      <c r="J1040" s="96" t="s">
        <v>1163</v>
      </c>
    </row>
    <row r="1041" spans="1:10" x14ac:dyDescent="0.2">
      <c r="A1041" s="97"/>
      <c r="B1041" s="95"/>
      <c r="C1041" s="77" t="s">
        <v>1162</v>
      </c>
      <c r="D1041" s="95"/>
      <c r="E1041" s="98"/>
      <c r="F1041" s="98"/>
      <c r="G1041" s="98"/>
      <c r="H1041" s="95"/>
      <c r="I1041" s="95"/>
      <c r="J1041" s="96"/>
    </row>
    <row r="1042" spans="1:10" ht="16" customHeight="1" x14ac:dyDescent="0.2">
      <c r="A1042" s="97"/>
      <c r="B1042" s="95">
        <v>243</v>
      </c>
      <c r="C1042" s="77" t="s">
        <v>1137</v>
      </c>
      <c r="D1042" s="95" t="s">
        <v>1411</v>
      </c>
      <c r="E1042" s="98">
        <v>4.0000000000000001E-3</v>
      </c>
      <c r="F1042" s="98">
        <v>2E-3</v>
      </c>
      <c r="G1042" s="98">
        <v>0.01</v>
      </c>
      <c r="H1042" s="95" t="s">
        <v>2267</v>
      </c>
      <c r="I1042" s="95" t="s">
        <v>1552</v>
      </c>
      <c r="J1042" s="96" t="s">
        <v>1139</v>
      </c>
    </row>
    <row r="1043" spans="1:10" x14ac:dyDescent="0.2">
      <c r="A1043" s="97"/>
      <c r="B1043" s="95"/>
      <c r="C1043" s="77" t="s">
        <v>1138</v>
      </c>
      <c r="D1043" s="95"/>
      <c r="E1043" s="98"/>
      <c r="F1043" s="98"/>
      <c r="G1043" s="98"/>
      <c r="H1043" s="95"/>
      <c r="I1043" s="95"/>
      <c r="J1043" s="96"/>
    </row>
    <row r="1044" spans="1:10" ht="16" customHeight="1" x14ac:dyDescent="0.2">
      <c r="A1044" s="97"/>
      <c r="B1044" s="95">
        <v>244</v>
      </c>
      <c r="C1044" s="77" t="s">
        <v>1236</v>
      </c>
      <c r="D1044" s="95" t="s">
        <v>2171</v>
      </c>
      <c r="E1044" s="98">
        <v>-4.0000000000000001E-3</v>
      </c>
      <c r="F1044" s="98">
        <v>3.5000000000000003E-2</v>
      </c>
      <c r="G1044" s="98">
        <v>-9.6000000000000002E-2</v>
      </c>
      <c r="H1044" s="95" t="s">
        <v>2172</v>
      </c>
      <c r="I1044" s="95" t="s">
        <v>2268</v>
      </c>
      <c r="J1044" s="96" t="s">
        <v>1238</v>
      </c>
    </row>
    <row r="1045" spans="1:10" x14ac:dyDescent="0.2">
      <c r="A1045" s="97"/>
      <c r="B1045" s="95"/>
      <c r="C1045" s="77" t="s">
        <v>1237</v>
      </c>
      <c r="D1045" s="95"/>
      <c r="E1045" s="98"/>
      <c r="F1045" s="98"/>
      <c r="G1045" s="98"/>
      <c r="H1045" s="95"/>
      <c r="I1045" s="95"/>
      <c r="J1045" s="96"/>
    </row>
    <row r="1046" spans="1:10" ht="16" customHeight="1" x14ac:dyDescent="0.2">
      <c r="A1046" s="97"/>
      <c r="B1046" s="95">
        <v>245</v>
      </c>
      <c r="C1046" s="77" t="s">
        <v>1209</v>
      </c>
      <c r="D1046" s="95" t="s">
        <v>2269</v>
      </c>
      <c r="E1046" s="98">
        <v>-2E-3</v>
      </c>
      <c r="F1046" s="98">
        <v>-2.9000000000000001E-2</v>
      </c>
      <c r="G1046" s="98">
        <v>-4.2000000000000003E-2</v>
      </c>
      <c r="H1046" s="95" t="s">
        <v>2270</v>
      </c>
      <c r="I1046" s="95" t="s">
        <v>2271</v>
      </c>
      <c r="J1046" s="96" t="s">
        <v>1211</v>
      </c>
    </row>
    <row r="1047" spans="1:10" x14ac:dyDescent="0.2">
      <c r="A1047" s="97"/>
      <c r="B1047" s="95"/>
      <c r="C1047" s="77" t="s">
        <v>1210</v>
      </c>
      <c r="D1047" s="95"/>
      <c r="E1047" s="98"/>
      <c r="F1047" s="98"/>
      <c r="G1047" s="98"/>
      <c r="H1047" s="95"/>
      <c r="I1047" s="95"/>
      <c r="J1047" s="96"/>
    </row>
    <row r="1048" spans="1:10" ht="16" customHeight="1" x14ac:dyDescent="0.2">
      <c r="A1048" s="97"/>
      <c r="B1048" s="95">
        <v>248</v>
      </c>
      <c r="C1048" s="77" t="s">
        <v>1227</v>
      </c>
      <c r="D1048" s="95" t="s">
        <v>2173</v>
      </c>
      <c r="E1048" s="98">
        <v>0.01</v>
      </c>
      <c r="F1048" s="98">
        <v>2.5999999999999999E-2</v>
      </c>
      <c r="G1048" s="98">
        <v>-0.154</v>
      </c>
      <c r="H1048" s="95" t="s">
        <v>2174</v>
      </c>
      <c r="I1048" s="95" t="s">
        <v>2175</v>
      </c>
      <c r="J1048" s="96" t="s">
        <v>1229</v>
      </c>
    </row>
    <row r="1049" spans="1:10" x14ac:dyDescent="0.2">
      <c r="A1049" s="97"/>
      <c r="B1049" s="95"/>
      <c r="C1049" s="77" t="s">
        <v>1228</v>
      </c>
      <c r="D1049" s="95"/>
      <c r="E1049" s="98"/>
      <c r="F1049" s="98"/>
      <c r="G1049" s="98"/>
      <c r="H1049" s="95"/>
      <c r="I1049" s="95"/>
      <c r="J1049" s="96"/>
    </row>
    <row r="1050" spans="1:10" ht="16" customHeight="1" x14ac:dyDescent="0.2">
      <c r="A1050" s="97"/>
      <c r="B1050" s="95">
        <v>246</v>
      </c>
      <c r="C1050" s="77" t="s">
        <v>1218</v>
      </c>
      <c r="D1050" s="95" t="s">
        <v>1717</v>
      </c>
      <c r="E1050" s="98">
        <v>1.4E-2</v>
      </c>
      <c r="F1050" s="98">
        <v>-5.0999999999999997E-2</v>
      </c>
      <c r="G1050" s="98">
        <v>-0.17899999999999999</v>
      </c>
      <c r="H1050" s="95" t="s">
        <v>2176</v>
      </c>
      <c r="I1050" s="95" t="s">
        <v>1553</v>
      </c>
      <c r="J1050" s="96" t="s">
        <v>1220</v>
      </c>
    </row>
    <row r="1051" spans="1:10" x14ac:dyDescent="0.2">
      <c r="A1051" s="97"/>
      <c r="B1051" s="95"/>
      <c r="C1051" s="77" t="s">
        <v>1219</v>
      </c>
      <c r="D1051" s="95"/>
      <c r="E1051" s="98"/>
      <c r="F1051" s="98"/>
      <c r="G1051" s="98"/>
      <c r="H1051" s="95"/>
      <c r="I1051" s="95"/>
      <c r="J1051" s="96"/>
    </row>
    <row r="1052" spans="1:10" ht="16" customHeight="1" x14ac:dyDescent="0.2">
      <c r="A1052" s="97"/>
      <c r="B1052" s="95">
        <v>247</v>
      </c>
      <c r="C1052" s="77" t="s">
        <v>1242</v>
      </c>
      <c r="D1052" s="95" t="s">
        <v>1663</v>
      </c>
      <c r="E1052" s="98">
        <v>-1.6E-2</v>
      </c>
      <c r="F1052" s="98">
        <v>-6.6000000000000003E-2</v>
      </c>
      <c r="G1052" s="98">
        <v>0.19700000000000001</v>
      </c>
      <c r="H1052" s="95" t="s">
        <v>1664</v>
      </c>
      <c r="I1052" s="95" t="s">
        <v>1554</v>
      </c>
      <c r="J1052" s="96" t="s">
        <v>1244</v>
      </c>
    </row>
    <row r="1053" spans="1:10" x14ac:dyDescent="0.2">
      <c r="A1053" s="97"/>
      <c r="B1053" s="95"/>
      <c r="C1053" s="77" t="s">
        <v>1243</v>
      </c>
      <c r="D1053" s="95"/>
      <c r="E1053" s="98"/>
      <c r="F1053" s="98"/>
      <c r="G1053" s="98"/>
      <c r="H1053" s="95"/>
      <c r="I1053" s="95"/>
      <c r="J1053" s="96"/>
    </row>
    <row r="1054" spans="1:10" ht="16" customHeight="1" x14ac:dyDescent="0.2">
      <c r="A1054" s="97"/>
      <c r="B1054" s="95">
        <v>249</v>
      </c>
      <c r="C1054" s="77" t="s">
        <v>1239</v>
      </c>
      <c r="D1054" s="95" t="s">
        <v>1665</v>
      </c>
      <c r="E1054" s="98">
        <v>-1E-3</v>
      </c>
      <c r="F1054" s="98">
        <v>-8.0000000000000002E-3</v>
      </c>
      <c r="G1054" s="98">
        <v>0.17899999999999999</v>
      </c>
      <c r="H1054" s="95" t="s">
        <v>1666</v>
      </c>
      <c r="I1054" s="95" t="s">
        <v>1555</v>
      </c>
      <c r="J1054" s="96" t="s">
        <v>1241</v>
      </c>
    </row>
    <row r="1055" spans="1:10" x14ac:dyDescent="0.2">
      <c r="A1055" s="97"/>
      <c r="B1055" s="95"/>
      <c r="C1055" s="77" t="s">
        <v>1240</v>
      </c>
      <c r="D1055" s="95"/>
      <c r="E1055" s="98"/>
      <c r="F1055" s="98"/>
      <c r="G1055" s="98"/>
      <c r="H1055" s="95"/>
      <c r="I1055" s="95"/>
      <c r="J1055" s="96"/>
    </row>
    <row r="1056" spans="1:10" ht="16" customHeight="1" x14ac:dyDescent="0.2">
      <c r="A1056" s="97"/>
      <c r="B1056" s="95">
        <v>250</v>
      </c>
      <c r="C1056" s="77" t="s">
        <v>1257</v>
      </c>
      <c r="D1056" s="95" t="s">
        <v>2272</v>
      </c>
      <c r="E1056" s="98">
        <v>-6.0000000000000001E-3</v>
      </c>
      <c r="F1056" s="98">
        <v>4.0000000000000001E-3</v>
      </c>
      <c r="G1056" s="98">
        <v>2.4E-2</v>
      </c>
      <c r="H1056" s="95" t="s">
        <v>2273</v>
      </c>
      <c r="I1056" s="95" t="s">
        <v>1556</v>
      </c>
      <c r="J1056" s="96" t="s">
        <v>1259</v>
      </c>
    </row>
    <row r="1057" spans="1:10" x14ac:dyDescent="0.2">
      <c r="A1057" s="97"/>
      <c r="B1057" s="95"/>
      <c r="C1057" s="77" t="s">
        <v>1258</v>
      </c>
      <c r="D1057" s="95"/>
      <c r="E1057" s="98"/>
      <c r="F1057" s="98"/>
      <c r="G1057" s="98"/>
      <c r="H1057" s="95"/>
      <c r="I1057" s="95"/>
      <c r="J1057" s="96"/>
    </row>
    <row r="1058" spans="1:10" ht="16" customHeight="1" x14ac:dyDescent="0.2">
      <c r="A1058" s="97"/>
      <c r="B1058" s="95">
        <v>251</v>
      </c>
      <c r="C1058" s="77" t="s">
        <v>1221</v>
      </c>
      <c r="D1058" s="95" t="s">
        <v>2177</v>
      </c>
      <c r="E1058" s="98">
        <v>1E-3</v>
      </c>
      <c r="F1058" s="98">
        <v>-3.6999999999999998E-2</v>
      </c>
      <c r="G1058" s="98">
        <v>0.11600000000000001</v>
      </c>
      <c r="H1058" s="95" t="s">
        <v>2178</v>
      </c>
      <c r="I1058" s="95" t="s">
        <v>1557</v>
      </c>
      <c r="J1058" s="96" t="s">
        <v>1223</v>
      </c>
    </row>
    <row r="1059" spans="1:10" x14ac:dyDescent="0.2">
      <c r="A1059" s="97"/>
      <c r="B1059" s="95"/>
      <c r="C1059" s="77" t="s">
        <v>1222</v>
      </c>
      <c r="D1059" s="95"/>
      <c r="E1059" s="98"/>
      <c r="F1059" s="98"/>
      <c r="G1059" s="98"/>
      <c r="H1059" s="95"/>
      <c r="I1059" s="95"/>
      <c r="J1059" s="96"/>
    </row>
    <row r="1060" spans="1:10" ht="16" customHeight="1" x14ac:dyDescent="0.2">
      <c r="A1060" s="97"/>
      <c r="B1060" s="95">
        <v>253</v>
      </c>
      <c r="C1060" s="77" t="s">
        <v>1263</v>
      </c>
      <c r="D1060" s="95" t="s">
        <v>2274</v>
      </c>
      <c r="E1060" s="98">
        <v>-4.0000000000000001E-3</v>
      </c>
      <c r="F1060" s="98">
        <v>-3.0000000000000001E-3</v>
      </c>
      <c r="G1060" s="98">
        <v>1.7000000000000001E-2</v>
      </c>
      <c r="H1060" s="95" t="s">
        <v>2275</v>
      </c>
      <c r="I1060" s="95" t="s">
        <v>1558</v>
      </c>
      <c r="J1060" s="96" t="s">
        <v>1265</v>
      </c>
    </row>
    <row r="1061" spans="1:10" x14ac:dyDescent="0.2">
      <c r="A1061" s="97"/>
      <c r="B1061" s="95"/>
      <c r="C1061" s="77" t="s">
        <v>1264</v>
      </c>
      <c r="D1061" s="95"/>
      <c r="E1061" s="98"/>
      <c r="F1061" s="98"/>
      <c r="G1061" s="98"/>
      <c r="H1061" s="95"/>
      <c r="I1061" s="95"/>
      <c r="J1061" s="96"/>
    </row>
    <row r="1062" spans="1:10" ht="16" customHeight="1" x14ac:dyDescent="0.2">
      <c r="A1062" s="97"/>
      <c r="B1062" s="95">
        <v>254</v>
      </c>
      <c r="C1062" s="77" t="s">
        <v>1296</v>
      </c>
      <c r="D1062" s="95" t="s">
        <v>2179</v>
      </c>
      <c r="E1062" s="98">
        <v>-3.0000000000000001E-3</v>
      </c>
      <c r="F1062" s="98">
        <v>-5.0000000000000001E-3</v>
      </c>
      <c r="G1062" s="98">
        <v>-6.9000000000000006E-2</v>
      </c>
      <c r="H1062" s="95" t="s">
        <v>2180</v>
      </c>
      <c r="I1062" s="95" t="s">
        <v>1559</v>
      </c>
      <c r="J1062" s="96" t="s">
        <v>1298</v>
      </c>
    </row>
    <row r="1063" spans="1:10" x14ac:dyDescent="0.2">
      <c r="A1063" s="97"/>
      <c r="B1063" s="95"/>
      <c r="C1063" s="77" t="s">
        <v>1297</v>
      </c>
      <c r="D1063" s="95"/>
      <c r="E1063" s="98"/>
      <c r="F1063" s="98"/>
      <c r="G1063" s="98"/>
      <c r="H1063" s="95"/>
      <c r="I1063" s="95"/>
      <c r="J1063" s="96"/>
    </row>
    <row r="1064" spans="1:10" ht="16" customHeight="1" x14ac:dyDescent="0.2">
      <c r="A1064" s="97"/>
      <c r="B1064" s="95">
        <v>252</v>
      </c>
      <c r="C1064" s="77" t="s">
        <v>1224</v>
      </c>
      <c r="D1064" s="95" t="s">
        <v>2181</v>
      </c>
      <c r="E1064" s="98">
        <v>0</v>
      </c>
      <c r="F1064" s="98">
        <v>-0.03</v>
      </c>
      <c r="G1064" s="98">
        <v>2E-3</v>
      </c>
      <c r="H1064" s="95" t="s">
        <v>2182</v>
      </c>
      <c r="I1064" s="95" t="s">
        <v>2183</v>
      </c>
      <c r="J1064" s="96" t="s">
        <v>1226</v>
      </c>
    </row>
    <row r="1065" spans="1:10" x14ac:dyDescent="0.2">
      <c r="A1065" s="97"/>
      <c r="B1065" s="95"/>
      <c r="C1065" s="77" t="s">
        <v>1225</v>
      </c>
      <c r="D1065" s="95"/>
      <c r="E1065" s="98"/>
      <c r="F1065" s="98"/>
      <c r="G1065" s="98"/>
      <c r="H1065" s="95"/>
      <c r="I1065" s="95"/>
      <c r="J1065" s="96"/>
    </row>
    <row r="1066" spans="1:10" ht="16" customHeight="1" x14ac:dyDescent="0.2">
      <c r="A1066" s="97"/>
      <c r="B1066" s="95">
        <v>255</v>
      </c>
      <c r="C1066" s="77" t="s">
        <v>1230</v>
      </c>
      <c r="D1066" s="95" t="s">
        <v>2184</v>
      </c>
      <c r="E1066" s="98">
        <v>0</v>
      </c>
      <c r="F1066" s="98">
        <v>-3.6999999999999998E-2</v>
      </c>
      <c r="G1066" s="98">
        <v>-5.6000000000000001E-2</v>
      </c>
      <c r="H1066" s="95" t="s">
        <v>2185</v>
      </c>
      <c r="I1066" s="95" t="s">
        <v>1560</v>
      </c>
      <c r="J1066" s="96" t="s">
        <v>1232</v>
      </c>
    </row>
    <row r="1067" spans="1:10" x14ac:dyDescent="0.2">
      <c r="A1067" s="97"/>
      <c r="B1067" s="95"/>
      <c r="C1067" s="77" t="s">
        <v>1231</v>
      </c>
      <c r="D1067" s="95"/>
      <c r="E1067" s="98"/>
      <c r="F1067" s="98"/>
      <c r="G1067" s="98"/>
      <c r="H1067" s="95"/>
      <c r="I1067" s="95"/>
      <c r="J1067" s="96"/>
    </row>
    <row r="1068" spans="1:10" ht="16" customHeight="1" x14ac:dyDescent="0.2">
      <c r="A1068" s="97"/>
      <c r="B1068" s="95">
        <v>256</v>
      </c>
      <c r="C1068" s="77" t="s">
        <v>1233</v>
      </c>
      <c r="D1068" s="95" t="s">
        <v>2276</v>
      </c>
      <c r="E1068" s="98">
        <v>1.0999999999999999E-2</v>
      </c>
      <c r="F1068" s="98">
        <v>1.6E-2</v>
      </c>
      <c r="G1068" s="98">
        <v>-7.0000000000000001E-3</v>
      </c>
      <c r="H1068" s="95" t="s">
        <v>2277</v>
      </c>
      <c r="I1068" s="95" t="s">
        <v>1561</v>
      </c>
      <c r="J1068" s="96" t="s">
        <v>1235</v>
      </c>
    </row>
    <row r="1069" spans="1:10" x14ac:dyDescent="0.2">
      <c r="A1069" s="97"/>
      <c r="B1069" s="95"/>
      <c r="C1069" s="77" t="s">
        <v>1234</v>
      </c>
      <c r="D1069" s="95"/>
      <c r="E1069" s="98"/>
      <c r="F1069" s="98"/>
      <c r="G1069" s="98"/>
      <c r="H1069" s="95"/>
      <c r="I1069" s="95"/>
      <c r="J1069" s="96"/>
    </row>
    <row r="1070" spans="1:10" ht="16" customHeight="1" x14ac:dyDescent="0.2">
      <c r="A1070" s="97"/>
      <c r="B1070" s="95">
        <v>257</v>
      </c>
      <c r="C1070" s="77" t="s">
        <v>1254</v>
      </c>
      <c r="D1070" s="95" t="s">
        <v>2186</v>
      </c>
      <c r="E1070" s="98">
        <v>0</v>
      </c>
      <c r="F1070" s="98">
        <v>-2.9000000000000001E-2</v>
      </c>
      <c r="G1070" s="98">
        <v>-4.0000000000000001E-3</v>
      </c>
      <c r="H1070" s="95" t="s">
        <v>2187</v>
      </c>
      <c r="I1070" s="95" t="s">
        <v>1562</v>
      </c>
      <c r="J1070" s="96" t="s">
        <v>1256</v>
      </c>
    </row>
    <row r="1071" spans="1:10" x14ac:dyDescent="0.2">
      <c r="A1071" s="97"/>
      <c r="B1071" s="95"/>
      <c r="C1071" s="77" t="s">
        <v>1255</v>
      </c>
      <c r="D1071" s="95"/>
      <c r="E1071" s="98"/>
      <c r="F1071" s="98"/>
      <c r="G1071" s="98"/>
      <c r="H1071" s="95"/>
      <c r="I1071" s="95"/>
      <c r="J1071" s="96"/>
    </row>
    <row r="1072" spans="1:10" ht="16" customHeight="1" x14ac:dyDescent="0.2">
      <c r="A1072" s="97"/>
      <c r="B1072" s="95">
        <v>258</v>
      </c>
      <c r="C1072" s="77" t="s">
        <v>1248</v>
      </c>
      <c r="D1072" s="95" t="s">
        <v>2278</v>
      </c>
      <c r="E1072" s="98">
        <v>-1E-3</v>
      </c>
      <c r="F1072" s="98">
        <v>-7.0000000000000001E-3</v>
      </c>
      <c r="G1072" s="98">
        <v>-2.1000000000000001E-2</v>
      </c>
      <c r="H1072" s="95" t="s">
        <v>2279</v>
      </c>
      <c r="I1072" s="95" t="s">
        <v>1563</v>
      </c>
      <c r="J1072" s="96" t="s">
        <v>1250</v>
      </c>
    </row>
    <row r="1073" spans="1:10" x14ac:dyDescent="0.2">
      <c r="A1073" s="97"/>
      <c r="B1073" s="95"/>
      <c r="C1073" s="77" t="s">
        <v>1249</v>
      </c>
      <c r="D1073" s="95"/>
      <c r="E1073" s="98"/>
      <c r="F1073" s="98"/>
      <c r="G1073" s="98"/>
      <c r="H1073" s="95"/>
      <c r="I1073" s="95"/>
      <c r="J1073" s="96"/>
    </row>
    <row r="1074" spans="1:10" ht="16" customHeight="1" x14ac:dyDescent="0.2">
      <c r="A1074" s="97"/>
      <c r="B1074" s="95">
        <v>259</v>
      </c>
      <c r="C1074" s="77" t="s">
        <v>1284</v>
      </c>
      <c r="D1074" s="95" t="s">
        <v>1564</v>
      </c>
      <c r="E1074" s="98">
        <v>-3.0000000000000001E-3</v>
      </c>
      <c r="F1074" s="98">
        <v>-1.7000000000000001E-2</v>
      </c>
      <c r="G1074" s="98">
        <v>1E-3</v>
      </c>
      <c r="H1074" s="95" t="s">
        <v>2188</v>
      </c>
      <c r="I1074" s="95" t="s">
        <v>1565</v>
      </c>
      <c r="J1074" s="96" t="s">
        <v>1286</v>
      </c>
    </row>
    <row r="1075" spans="1:10" x14ac:dyDescent="0.2">
      <c r="A1075" s="97"/>
      <c r="B1075" s="95"/>
      <c r="C1075" s="77" t="s">
        <v>1285</v>
      </c>
      <c r="D1075" s="95"/>
      <c r="E1075" s="98"/>
      <c r="F1075" s="98"/>
      <c r="G1075" s="98"/>
      <c r="H1075" s="95"/>
      <c r="I1075" s="95"/>
      <c r="J1075" s="96"/>
    </row>
    <row r="1076" spans="1:10" ht="16" customHeight="1" x14ac:dyDescent="0.2">
      <c r="A1076" s="97"/>
      <c r="B1076" s="95">
        <v>260</v>
      </c>
      <c r="C1076" s="77" t="s">
        <v>1266</v>
      </c>
      <c r="D1076" s="95" t="s">
        <v>1607</v>
      </c>
      <c r="E1076" s="98">
        <v>-7.0000000000000001E-3</v>
      </c>
      <c r="F1076" s="98">
        <v>-7.3999999999999996E-2</v>
      </c>
      <c r="G1076" s="98">
        <v>-0.153</v>
      </c>
      <c r="H1076" s="95" t="s">
        <v>2189</v>
      </c>
      <c r="I1076" s="95" t="s">
        <v>2280</v>
      </c>
      <c r="J1076" s="96" t="s">
        <v>1268</v>
      </c>
    </row>
    <row r="1077" spans="1:10" x14ac:dyDescent="0.2">
      <c r="A1077" s="97"/>
      <c r="B1077" s="95"/>
      <c r="C1077" s="77" t="s">
        <v>1267</v>
      </c>
      <c r="D1077" s="95"/>
      <c r="E1077" s="98"/>
      <c r="F1077" s="98"/>
      <c r="G1077" s="98"/>
      <c r="H1077" s="95"/>
      <c r="I1077" s="95"/>
      <c r="J1077" s="96"/>
    </row>
    <row r="1078" spans="1:10" ht="16" customHeight="1" x14ac:dyDescent="0.2">
      <c r="A1078" s="97"/>
      <c r="B1078" s="95">
        <v>261</v>
      </c>
      <c r="C1078" s="77" t="s">
        <v>1302</v>
      </c>
      <c r="D1078" s="95" t="s">
        <v>2190</v>
      </c>
      <c r="E1078" s="98">
        <v>-2E-3</v>
      </c>
      <c r="F1078" s="98">
        <v>-1.2E-2</v>
      </c>
      <c r="G1078" s="98">
        <v>-3.4000000000000002E-2</v>
      </c>
      <c r="H1078" s="95" t="s">
        <v>2191</v>
      </c>
      <c r="I1078" s="95" t="s">
        <v>1566</v>
      </c>
      <c r="J1078" s="96" t="s">
        <v>1304</v>
      </c>
    </row>
    <row r="1079" spans="1:10" x14ac:dyDescent="0.2">
      <c r="A1079" s="97"/>
      <c r="B1079" s="95"/>
      <c r="C1079" s="77" t="s">
        <v>1303</v>
      </c>
      <c r="D1079" s="95"/>
      <c r="E1079" s="98"/>
      <c r="F1079" s="98"/>
      <c r="G1079" s="98"/>
      <c r="H1079" s="95"/>
      <c r="I1079" s="95"/>
      <c r="J1079" s="96"/>
    </row>
    <row r="1080" spans="1:10" ht="16" customHeight="1" x14ac:dyDescent="0.2">
      <c r="A1080" s="97"/>
      <c r="B1080" s="95">
        <v>262</v>
      </c>
      <c r="C1080" s="77" t="s">
        <v>1335</v>
      </c>
      <c r="D1080" s="95" t="s">
        <v>2192</v>
      </c>
      <c r="E1080" s="98">
        <v>-5.0000000000000001E-3</v>
      </c>
      <c r="F1080" s="98">
        <v>-1.9E-2</v>
      </c>
      <c r="G1080" s="98">
        <v>0.107</v>
      </c>
      <c r="H1080" s="95" t="s">
        <v>2193</v>
      </c>
      <c r="I1080" s="95" t="s">
        <v>1567</v>
      </c>
      <c r="J1080" s="96" t="s">
        <v>1337</v>
      </c>
    </row>
    <row r="1081" spans="1:10" x14ac:dyDescent="0.2">
      <c r="A1081" s="97"/>
      <c r="B1081" s="95"/>
      <c r="C1081" s="77" t="s">
        <v>1336</v>
      </c>
      <c r="D1081" s="95"/>
      <c r="E1081" s="98"/>
      <c r="F1081" s="98"/>
      <c r="G1081" s="98"/>
      <c r="H1081" s="95"/>
      <c r="I1081" s="95"/>
      <c r="J1081" s="96"/>
    </row>
    <row r="1082" spans="1:10" ht="16" customHeight="1" x14ac:dyDescent="0.2">
      <c r="A1082" s="97"/>
      <c r="B1082" s="95">
        <v>263</v>
      </c>
      <c r="C1082" s="77" t="s">
        <v>1269</v>
      </c>
      <c r="D1082" s="95" t="s">
        <v>1608</v>
      </c>
      <c r="E1082" s="98">
        <v>-0.01</v>
      </c>
      <c r="F1082" s="98">
        <v>-1.4999999999999999E-2</v>
      </c>
      <c r="G1082" s="98">
        <v>-6.7000000000000004E-2</v>
      </c>
      <c r="H1082" s="95" t="s">
        <v>2281</v>
      </c>
      <c r="I1082" s="95" t="s">
        <v>1568</v>
      </c>
      <c r="J1082" s="96" t="s">
        <v>1271</v>
      </c>
    </row>
    <row r="1083" spans="1:10" x14ac:dyDescent="0.2">
      <c r="A1083" s="97"/>
      <c r="B1083" s="95"/>
      <c r="C1083" s="77" t="s">
        <v>1270</v>
      </c>
      <c r="D1083" s="95"/>
      <c r="E1083" s="98"/>
      <c r="F1083" s="98"/>
      <c r="G1083" s="98"/>
      <c r="H1083" s="95"/>
      <c r="I1083" s="95"/>
      <c r="J1083" s="96"/>
    </row>
    <row r="1084" spans="1:10" ht="16" customHeight="1" x14ac:dyDescent="0.2">
      <c r="A1084" s="97"/>
      <c r="B1084" s="95">
        <v>264</v>
      </c>
      <c r="C1084" s="77" t="s">
        <v>1272</v>
      </c>
      <c r="D1084" s="95" t="s">
        <v>2194</v>
      </c>
      <c r="E1084" s="98">
        <v>-1E-3</v>
      </c>
      <c r="F1084" s="98">
        <v>-3.5000000000000003E-2</v>
      </c>
      <c r="G1084" s="98">
        <v>5.1999999999999998E-2</v>
      </c>
      <c r="H1084" s="95" t="s">
        <v>2195</v>
      </c>
      <c r="I1084" s="95" t="s">
        <v>1569</v>
      </c>
      <c r="J1084" s="96" t="s">
        <v>1274</v>
      </c>
    </row>
    <row r="1085" spans="1:10" x14ac:dyDescent="0.2">
      <c r="A1085" s="97"/>
      <c r="B1085" s="95"/>
      <c r="C1085" s="77" t="s">
        <v>1273</v>
      </c>
      <c r="D1085" s="95"/>
      <c r="E1085" s="98"/>
      <c r="F1085" s="98"/>
      <c r="G1085" s="98"/>
      <c r="H1085" s="95"/>
      <c r="I1085" s="95"/>
      <c r="J1085" s="96"/>
    </row>
    <row r="1086" spans="1:10" ht="16" customHeight="1" x14ac:dyDescent="0.2">
      <c r="A1086" s="97"/>
      <c r="B1086" s="95">
        <v>265</v>
      </c>
      <c r="C1086" s="77" t="s">
        <v>1260</v>
      </c>
      <c r="D1086" s="95" t="s">
        <v>2196</v>
      </c>
      <c r="E1086" s="98">
        <v>6.0000000000000001E-3</v>
      </c>
      <c r="F1086" s="98">
        <v>-5.0000000000000001E-3</v>
      </c>
      <c r="G1086" s="98">
        <v>-4.2999999999999997E-2</v>
      </c>
      <c r="H1086" s="95" t="s">
        <v>2197</v>
      </c>
      <c r="I1086" s="95" t="s">
        <v>2198</v>
      </c>
      <c r="J1086" s="96" t="s">
        <v>1262</v>
      </c>
    </row>
    <row r="1087" spans="1:10" x14ac:dyDescent="0.2">
      <c r="A1087" s="97"/>
      <c r="B1087" s="95"/>
      <c r="C1087" s="77" t="s">
        <v>1261</v>
      </c>
      <c r="D1087" s="95"/>
      <c r="E1087" s="98"/>
      <c r="F1087" s="98"/>
      <c r="G1087" s="98"/>
      <c r="H1087" s="95"/>
      <c r="I1087" s="95"/>
      <c r="J1087" s="96"/>
    </row>
    <row r="1088" spans="1:10" ht="16" customHeight="1" x14ac:dyDescent="0.2">
      <c r="A1088" s="97"/>
      <c r="B1088" s="95">
        <v>266</v>
      </c>
      <c r="C1088" s="77" t="s">
        <v>1299</v>
      </c>
      <c r="D1088" s="95" t="s">
        <v>1667</v>
      </c>
      <c r="E1088" s="98">
        <v>-1.9E-2</v>
      </c>
      <c r="F1088" s="98">
        <v>-0.02</v>
      </c>
      <c r="G1088" s="98">
        <v>-0.03</v>
      </c>
      <c r="H1088" s="95" t="s">
        <v>2282</v>
      </c>
      <c r="I1088" s="95" t="s">
        <v>1570</v>
      </c>
      <c r="J1088" s="96" t="s">
        <v>1301</v>
      </c>
    </row>
    <row r="1089" spans="1:10" x14ac:dyDescent="0.2">
      <c r="A1089" s="97"/>
      <c r="B1089" s="95"/>
      <c r="C1089" s="77" t="s">
        <v>1300</v>
      </c>
      <c r="D1089" s="95"/>
      <c r="E1089" s="98"/>
      <c r="F1089" s="98"/>
      <c r="G1089" s="98"/>
      <c r="H1089" s="95"/>
      <c r="I1089" s="95"/>
      <c r="J1089" s="96"/>
    </row>
    <row r="1090" spans="1:10" ht="16" customHeight="1" x14ac:dyDescent="0.2">
      <c r="A1090" s="97"/>
      <c r="B1090" s="95">
        <v>267</v>
      </c>
      <c r="C1090" s="77" t="s">
        <v>1281</v>
      </c>
      <c r="D1090" s="95" t="s">
        <v>2199</v>
      </c>
      <c r="E1090" s="98">
        <v>0</v>
      </c>
      <c r="F1090" s="98">
        <v>-2.8000000000000001E-2</v>
      </c>
      <c r="G1090" s="98">
        <v>-7.2999999999999995E-2</v>
      </c>
      <c r="H1090" s="95" t="s">
        <v>2200</v>
      </c>
      <c r="I1090" s="95" t="s">
        <v>1571</v>
      </c>
      <c r="J1090" s="96" t="s">
        <v>1283</v>
      </c>
    </row>
    <row r="1091" spans="1:10" x14ac:dyDescent="0.2">
      <c r="A1091" s="97"/>
      <c r="B1091" s="95"/>
      <c r="C1091" s="77" t="s">
        <v>1282</v>
      </c>
      <c r="D1091" s="95"/>
      <c r="E1091" s="98"/>
      <c r="F1091" s="98"/>
      <c r="G1091" s="98"/>
      <c r="H1091" s="95"/>
      <c r="I1091" s="95"/>
      <c r="J1091" s="96"/>
    </row>
    <row r="1092" spans="1:10" ht="16" customHeight="1" x14ac:dyDescent="0.2">
      <c r="A1092" s="97"/>
      <c r="B1092" s="95">
        <v>270</v>
      </c>
      <c r="C1092" s="77" t="s">
        <v>1314</v>
      </c>
      <c r="D1092" s="95" t="s">
        <v>1572</v>
      </c>
      <c r="E1092" s="98">
        <v>-3.0000000000000001E-3</v>
      </c>
      <c r="F1092" s="98">
        <v>-1.2E-2</v>
      </c>
      <c r="G1092" s="98">
        <v>-0.109</v>
      </c>
      <c r="H1092" s="95" t="s">
        <v>2203</v>
      </c>
      <c r="I1092" s="95" t="s">
        <v>1573</v>
      </c>
      <c r="J1092" s="96" t="s">
        <v>1316</v>
      </c>
    </row>
    <row r="1093" spans="1:10" x14ac:dyDescent="0.2">
      <c r="A1093" s="97"/>
      <c r="B1093" s="95"/>
      <c r="C1093" s="77" t="s">
        <v>1315</v>
      </c>
      <c r="D1093" s="95"/>
      <c r="E1093" s="98"/>
      <c r="F1093" s="98"/>
      <c r="G1093" s="98"/>
      <c r="H1093" s="95"/>
      <c r="I1093" s="95"/>
      <c r="J1093" s="96"/>
    </row>
    <row r="1094" spans="1:10" ht="16" customHeight="1" x14ac:dyDescent="0.2">
      <c r="A1094" s="97"/>
      <c r="B1094" s="95">
        <v>268</v>
      </c>
      <c r="C1094" s="77" t="s">
        <v>1251</v>
      </c>
      <c r="D1094" s="95" t="s">
        <v>2201</v>
      </c>
      <c r="E1094" s="98">
        <v>-1.0999999999999999E-2</v>
      </c>
      <c r="F1094" s="98">
        <v>-5.3999999999999999E-2</v>
      </c>
      <c r="G1094" s="98">
        <v>4.1000000000000002E-2</v>
      </c>
      <c r="H1094" s="95" t="s">
        <v>2202</v>
      </c>
      <c r="I1094" s="95" t="s">
        <v>2283</v>
      </c>
      <c r="J1094" s="96" t="s">
        <v>1253</v>
      </c>
    </row>
    <row r="1095" spans="1:10" x14ac:dyDescent="0.2">
      <c r="A1095" s="97"/>
      <c r="B1095" s="95"/>
      <c r="C1095" s="77" t="s">
        <v>1252</v>
      </c>
      <c r="D1095" s="95"/>
      <c r="E1095" s="98"/>
      <c r="F1095" s="98"/>
      <c r="G1095" s="98"/>
      <c r="H1095" s="95"/>
      <c r="I1095" s="95"/>
      <c r="J1095" s="96"/>
    </row>
    <row r="1096" spans="1:10" ht="16" customHeight="1" x14ac:dyDescent="0.2">
      <c r="A1096" s="97"/>
      <c r="B1096" s="95">
        <v>274</v>
      </c>
      <c r="C1096" s="77" t="s">
        <v>1317</v>
      </c>
      <c r="D1096" s="95" t="s">
        <v>1418</v>
      </c>
      <c r="E1096" s="98">
        <v>7.0000000000000001E-3</v>
      </c>
      <c r="F1096" s="98">
        <v>-2.7E-2</v>
      </c>
      <c r="G1096" s="98">
        <v>-7.0000000000000001E-3</v>
      </c>
      <c r="H1096" s="95" t="s">
        <v>2204</v>
      </c>
      <c r="I1096" s="95" t="s">
        <v>2205</v>
      </c>
      <c r="J1096" s="96" t="s">
        <v>1319</v>
      </c>
    </row>
    <row r="1097" spans="1:10" x14ac:dyDescent="0.2">
      <c r="A1097" s="97"/>
      <c r="B1097" s="95"/>
      <c r="C1097" s="77" t="s">
        <v>1318</v>
      </c>
      <c r="D1097" s="95"/>
      <c r="E1097" s="98"/>
      <c r="F1097" s="98"/>
      <c r="G1097" s="98"/>
      <c r="H1097" s="95"/>
      <c r="I1097" s="95"/>
      <c r="J1097" s="96"/>
    </row>
    <row r="1098" spans="1:10" ht="16" customHeight="1" x14ac:dyDescent="0.2">
      <c r="A1098" s="97"/>
      <c r="B1098" s="95">
        <v>271</v>
      </c>
      <c r="C1098" s="77" t="s">
        <v>1290</v>
      </c>
      <c r="D1098" s="95" t="s">
        <v>2206</v>
      </c>
      <c r="E1098" s="98">
        <v>-5.0000000000000001E-3</v>
      </c>
      <c r="F1098" s="98">
        <v>-1.2E-2</v>
      </c>
      <c r="G1098" s="98">
        <v>-7.4999999999999997E-2</v>
      </c>
      <c r="H1098" s="95" t="s">
        <v>2207</v>
      </c>
      <c r="I1098" s="95" t="s">
        <v>1574</v>
      </c>
      <c r="J1098" s="96" t="s">
        <v>1292</v>
      </c>
    </row>
    <row r="1099" spans="1:10" x14ac:dyDescent="0.2">
      <c r="A1099" s="97"/>
      <c r="B1099" s="95"/>
      <c r="C1099" s="77" t="s">
        <v>1291</v>
      </c>
      <c r="D1099" s="95"/>
      <c r="E1099" s="98"/>
      <c r="F1099" s="98"/>
      <c r="G1099" s="98"/>
      <c r="H1099" s="95"/>
      <c r="I1099" s="95"/>
      <c r="J1099" s="96"/>
    </row>
    <row r="1100" spans="1:10" ht="16" customHeight="1" x14ac:dyDescent="0.2">
      <c r="A1100" s="97"/>
      <c r="B1100" s="95">
        <v>276</v>
      </c>
      <c r="C1100" s="77" t="s">
        <v>1275</v>
      </c>
      <c r="D1100" s="95" t="s">
        <v>2209</v>
      </c>
      <c r="E1100" s="98">
        <v>1.2999999999999999E-2</v>
      </c>
      <c r="F1100" s="98">
        <v>-2.4E-2</v>
      </c>
      <c r="G1100" s="98">
        <v>-4.2999999999999997E-2</v>
      </c>
      <c r="H1100" s="95" t="s">
        <v>2210</v>
      </c>
      <c r="I1100" s="95" t="s">
        <v>2284</v>
      </c>
      <c r="J1100" s="96" t="s">
        <v>1277</v>
      </c>
    </row>
    <row r="1101" spans="1:10" x14ac:dyDescent="0.2">
      <c r="A1101" s="97"/>
      <c r="B1101" s="95"/>
      <c r="C1101" s="77" t="s">
        <v>1276</v>
      </c>
      <c r="D1101" s="95"/>
      <c r="E1101" s="98"/>
      <c r="F1101" s="98"/>
      <c r="G1101" s="98"/>
      <c r="H1101" s="95"/>
      <c r="I1101" s="95"/>
      <c r="J1101" s="96"/>
    </row>
    <row r="1102" spans="1:10" ht="16" customHeight="1" x14ac:dyDescent="0.2">
      <c r="A1102" s="97"/>
      <c r="B1102" s="95">
        <v>272</v>
      </c>
      <c r="C1102" s="77" t="s">
        <v>1341</v>
      </c>
      <c r="D1102" s="95" t="s">
        <v>1668</v>
      </c>
      <c r="E1102" s="98">
        <v>-1.6E-2</v>
      </c>
      <c r="F1102" s="98">
        <v>-0.06</v>
      </c>
      <c r="G1102" s="98">
        <v>-0.02</v>
      </c>
      <c r="H1102" s="95" t="s">
        <v>2285</v>
      </c>
      <c r="I1102" s="95" t="s">
        <v>1575</v>
      </c>
      <c r="J1102" s="96" t="s">
        <v>1343</v>
      </c>
    </row>
    <row r="1103" spans="1:10" x14ac:dyDescent="0.2">
      <c r="A1103" s="97"/>
      <c r="B1103" s="95"/>
      <c r="C1103" s="77" t="s">
        <v>1342</v>
      </c>
      <c r="D1103" s="95"/>
      <c r="E1103" s="98"/>
      <c r="F1103" s="98"/>
      <c r="G1103" s="98"/>
      <c r="H1103" s="95"/>
      <c r="I1103" s="95"/>
      <c r="J1103" s="96"/>
    </row>
    <row r="1104" spans="1:10" ht="16" customHeight="1" x14ac:dyDescent="0.2">
      <c r="A1104" s="97"/>
      <c r="B1104" s="95">
        <v>273</v>
      </c>
      <c r="C1104" s="77" t="s">
        <v>1293</v>
      </c>
      <c r="D1104" s="95" t="s">
        <v>1609</v>
      </c>
      <c r="E1104" s="98">
        <v>-8.0000000000000002E-3</v>
      </c>
      <c r="F1104" s="98">
        <v>-3.0000000000000001E-3</v>
      </c>
      <c r="G1104" s="98">
        <v>-0.14099999999999999</v>
      </c>
      <c r="H1104" s="95" t="s">
        <v>2286</v>
      </c>
      <c r="I1104" s="95" t="s">
        <v>1576</v>
      </c>
      <c r="J1104" s="96" t="s">
        <v>1295</v>
      </c>
    </row>
    <row r="1105" spans="1:10" x14ac:dyDescent="0.2">
      <c r="A1105" s="97"/>
      <c r="B1105" s="95"/>
      <c r="C1105" s="77" t="s">
        <v>1294</v>
      </c>
      <c r="D1105" s="95"/>
      <c r="E1105" s="98"/>
      <c r="F1105" s="98"/>
      <c r="G1105" s="98"/>
      <c r="H1105" s="95"/>
      <c r="I1105" s="95"/>
      <c r="J1105" s="96"/>
    </row>
    <row r="1106" spans="1:10" ht="16" customHeight="1" x14ac:dyDescent="0.2">
      <c r="A1106" s="97"/>
      <c r="B1106" s="95">
        <v>277</v>
      </c>
      <c r="C1106" s="77" t="s">
        <v>1287</v>
      </c>
      <c r="D1106" s="95" t="s">
        <v>2211</v>
      </c>
      <c r="E1106" s="98">
        <v>-1.7000000000000001E-2</v>
      </c>
      <c r="F1106" s="98">
        <v>-1.2999999999999999E-2</v>
      </c>
      <c r="G1106" s="98">
        <v>-7.0000000000000007E-2</v>
      </c>
      <c r="H1106" s="95" t="s">
        <v>2212</v>
      </c>
      <c r="I1106" s="95" t="s">
        <v>1577</v>
      </c>
      <c r="J1106" s="96" t="s">
        <v>1289</v>
      </c>
    </row>
    <row r="1107" spans="1:10" x14ac:dyDescent="0.2">
      <c r="A1107" s="97"/>
      <c r="B1107" s="95"/>
      <c r="C1107" s="77" t="s">
        <v>1288</v>
      </c>
      <c r="D1107" s="95"/>
      <c r="E1107" s="98"/>
      <c r="F1107" s="98"/>
      <c r="G1107" s="98"/>
      <c r="H1107" s="95"/>
      <c r="I1107" s="95"/>
      <c r="J1107" s="96"/>
    </row>
    <row r="1108" spans="1:10" ht="16" customHeight="1" x14ac:dyDescent="0.2">
      <c r="A1108" s="97"/>
      <c r="B1108" s="95">
        <v>278</v>
      </c>
      <c r="C1108" s="77" t="s">
        <v>1329</v>
      </c>
      <c r="D1108" s="95" t="s">
        <v>2213</v>
      </c>
      <c r="E1108" s="98">
        <v>0</v>
      </c>
      <c r="F1108" s="98">
        <v>-0.01</v>
      </c>
      <c r="G1108" s="98">
        <v>-1E-3</v>
      </c>
      <c r="H1108" s="95" t="s">
        <v>2214</v>
      </c>
      <c r="I1108" s="95" t="s">
        <v>2215</v>
      </c>
      <c r="J1108" s="96" t="s">
        <v>1331</v>
      </c>
    </row>
    <row r="1109" spans="1:10" x14ac:dyDescent="0.2">
      <c r="A1109" s="97"/>
      <c r="B1109" s="95"/>
      <c r="C1109" s="77" t="s">
        <v>1330</v>
      </c>
      <c r="D1109" s="95"/>
      <c r="E1109" s="98"/>
      <c r="F1109" s="98"/>
      <c r="G1109" s="98"/>
      <c r="H1109" s="95"/>
      <c r="I1109" s="95"/>
      <c r="J1109" s="96"/>
    </row>
    <row r="1110" spans="1:10" ht="16" customHeight="1" x14ac:dyDescent="0.2">
      <c r="A1110" s="97"/>
      <c r="B1110" s="95">
        <v>275</v>
      </c>
      <c r="C1110" s="77" t="s">
        <v>1362</v>
      </c>
      <c r="D1110" s="95" t="s">
        <v>1669</v>
      </c>
      <c r="E1110" s="98">
        <v>-3.3000000000000002E-2</v>
      </c>
      <c r="F1110" s="98">
        <v>-8.5000000000000006E-2</v>
      </c>
      <c r="G1110" s="98">
        <v>0.36299999999999999</v>
      </c>
      <c r="H1110" s="95" t="s">
        <v>2208</v>
      </c>
      <c r="I1110" s="95" t="s">
        <v>2287</v>
      </c>
      <c r="J1110" s="96" t="s">
        <v>1364</v>
      </c>
    </row>
    <row r="1111" spans="1:10" x14ac:dyDescent="0.2">
      <c r="A1111" s="97"/>
      <c r="B1111" s="95"/>
      <c r="C1111" s="77" t="s">
        <v>1363</v>
      </c>
      <c r="D1111" s="95"/>
      <c r="E1111" s="98"/>
      <c r="F1111" s="98"/>
      <c r="G1111" s="98"/>
      <c r="H1111" s="95"/>
      <c r="I1111" s="95"/>
      <c r="J1111" s="96"/>
    </row>
    <row r="1112" spans="1:10" ht="16" customHeight="1" x14ac:dyDescent="0.2">
      <c r="A1112" s="97"/>
      <c r="B1112" s="95">
        <v>269</v>
      </c>
      <c r="C1112" s="77" t="s">
        <v>1278</v>
      </c>
      <c r="D1112" s="95" t="s">
        <v>1718</v>
      </c>
      <c r="E1112" s="98">
        <v>-6.2E-2</v>
      </c>
      <c r="F1112" s="98">
        <v>-8.8999999999999996E-2</v>
      </c>
      <c r="G1112" s="98">
        <v>3.2000000000000001E-2</v>
      </c>
      <c r="H1112" s="95" t="s">
        <v>1719</v>
      </c>
      <c r="I1112" s="95" t="s">
        <v>2216</v>
      </c>
      <c r="J1112" s="96" t="s">
        <v>1280</v>
      </c>
    </row>
    <row r="1113" spans="1:10" x14ac:dyDescent="0.2">
      <c r="A1113" s="97"/>
      <c r="B1113" s="95"/>
      <c r="C1113" s="77" t="s">
        <v>1279</v>
      </c>
      <c r="D1113" s="95"/>
      <c r="E1113" s="98"/>
      <c r="F1113" s="98"/>
      <c r="G1113" s="98"/>
      <c r="H1113" s="95"/>
      <c r="I1113" s="95"/>
      <c r="J1113" s="96"/>
    </row>
    <row r="1114" spans="1:10" ht="16" customHeight="1" x14ac:dyDescent="0.2">
      <c r="A1114" s="97"/>
      <c r="B1114" s="95">
        <v>279</v>
      </c>
      <c r="C1114" s="77" t="s">
        <v>1373</v>
      </c>
      <c r="D1114" s="95" t="s">
        <v>2217</v>
      </c>
      <c r="E1114" s="98">
        <v>1E-3</v>
      </c>
      <c r="F1114" s="98">
        <v>-2.9000000000000001E-2</v>
      </c>
      <c r="G1114" s="98">
        <v>0.88700000000000001</v>
      </c>
      <c r="H1114" s="95" t="s">
        <v>2218</v>
      </c>
      <c r="I1114" s="95" t="s">
        <v>1578</v>
      </c>
      <c r="J1114" s="96" t="s">
        <v>1375</v>
      </c>
    </row>
    <row r="1115" spans="1:10" x14ac:dyDescent="0.2">
      <c r="A1115" s="97"/>
      <c r="B1115" s="95"/>
      <c r="C1115" s="77" t="s">
        <v>1374</v>
      </c>
      <c r="D1115" s="95"/>
      <c r="E1115" s="98"/>
      <c r="F1115" s="98"/>
      <c r="G1115" s="98"/>
      <c r="H1115" s="95"/>
      <c r="I1115" s="95"/>
      <c r="J1115" s="96"/>
    </row>
    <row r="1116" spans="1:10" ht="16" customHeight="1" x14ac:dyDescent="0.2">
      <c r="A1116" s="97"/>
      <c r="B1116" s="95">
        <v>280</v>
      </c>
      <c r="C1116" s="77" t="s">
        <v>1404</v>
      </c>
      <c r="D1116" s="95" t="s">
        <v>2219</v>
      </c>
      <c r="E1116" s="98">
        <v>-1.7999999999999999E-2</v>
      </c>
      <c r="F1116" s="98">
        <v>0.124</v>
      </c>
      <c r="G1116" s="98">
        <v>8.5999999999999993E-2</v>
      </c>
      <c r="H1116" s="95" t="s">
        <v>2220</v>
      </c>
      <c r="I1116" s="95" t="s">
        <v>1579</v>
      </c>
      <c r="J1116" s="96" t="s">
        <v>1406</v>
      </c>
    </row>
    <row r="1117" spans="1:10" x14ac:dyDescent="0.2">
      <c r="A1117" s="97"/>
      <c r="B1117" s="95"/>
      <c r="C1117" s="77" t="s">
        <v>1405</v>
      </c>
      <c r="D1117" s="95"/>
      <c r="E1117" s="98"/>
      <c r="F1117" s="98"/>
      <c r="G1117" s="98"/>
      <c r="H1117" s="95"/>
      <c r="I1117" s="95"/>
      <c r="J1117" s="96"/>
    </row>
    <row r="1118" spans="1:10" ht="16" customHeight="1" x14ac:dyDescent="0.2">
      <c r="A1118" s="97"/>
      <c r="B1118" s="95">
        <v>289</v>
      </c>
      <c r="C1118" s="77" t="s">
        <v>1356</v>
      </c>
      <c r="D1118" s="95" t="s">
        <v>2230</v>
      </c>
      <c r="E1118" s="98">
        <v>3.3000000000000002E-2</v>
      </c>
      <c r="F1118" s="98">
        <v>3.3000000000000002E-2</v>
      </c>
      <c r="G1118" s="98">
        <v>0.01</v>
      </c>
      <c r="H1118" s="95" t="s">
        <v>2231</v>
      </c>
      <c r="I1118" s="95" t="s">
        <v>2288</v>
      </c>
      <c r="J1118" s="96" t="s">
        <v>1358</v>
      </c>
    </row>
    <row r="1119" spans="1:10" x14ac:dyDescent="0.2">
      <c r="A1119" s="97"/>
      <c r="B1119" s="95"/>
      <c r="C1119" s="77" t="s">
        <v>1357</v>
      </c>
      <c r="D1119" s="95"/>
      <c r="E1119" s="98"/>
      <c r="F1119" s="98"/>
      <c r="G1119" s="98"/>
      <c r="H1119" s="95"/>
      <c r="I1119" s="95"/>
      <c r="J1119" s="96"/>
    </row>
    <row r="1120" spans="1:10" ht="16" customHeight="1" x14ac:dyDescent="0.2">
      <c r="A1120" s="97"/>
      <c r="B1120" s="95">
        <v>281</v>
      </c>
      <c r="C1120" s="77" t="s">
        <v>1353</v>
      </c>
      <c r="D1120" s="95" t="s">
        <v>1413</v>
      </c>
      <c r="E1120" s="98">
        <v>0</v>
      </c>
      <c r="F1120" s="98">
        <v>-7.0000000000000001E-3</v>
      </c>
      <c r="G1120" s="98">
        <v>-1.7000000000000001E-2</v>
      </c>
      <c r="H1120" s="95" t="s">
        <v>1580</v>
      </c>
      <c r="I1120" s="95" t="s">
        <v>1581</v>
      </c>
      <c r="J1120" s="96" t="s">
        <v>1355</v>
      </c>
    </row>
    <row r="1121" spans="1:10" x14ac:dyDescent="0.2">
      <c r="A1121" s="97"/>
      <c r="B1121" s="95"/>
      <c r="C1121" s="77" t="s">
        <v>1354</v>
      </c>
      <c r="D1121" s="95"/>
      <c r="E1121" s="98"/>
      <c r="F1121" s="98"/>
      <c r="G1121" s="98"/>
      <c r="H1121" s="95"/>
      <c r="I1121" s="95"/>
      <c r="J1121" s="96"/>
    </row>
    <row r="1122" spans="1:10" ht="16" customHeight="1" x14ac:dyDescent="0.2">
      <c r="A1122" s="97"/>
      <c r="B1122" s="95">
        <v>282</v>
      </c>
      <c r="C1122" s="77" t="s">
        <v>1359</v>
      </c>
      <c r="D1122" s="95" t="s">
        <v>2221</v>
      </c>
      <c r="E1122" s="98">
        <v>-1.4999999999999999E-2</v>
      </c>
      <c r="F1122" s="98">
        <v>1.6E-2</v>
      </c>
      <c r="G1122" s="98">
        <v>-1.4E-2</v>
      </c>
      <c r="H1122" s="95" t="s">
        <v>2222</v>
      </c>
      <c r="I1122" s="95" t="s">
        <v>1582</v>
      </c>
      <c r="J1122" s="96" t="s">
        <v>1361</v>
      </c>
    </row>
    <row r="1123" spans="1:10" x14ac:dyDescent="0.2">
      <c r="A1123" s="97"/>
      <c r="B1123" s="95"/>
      <c r="C1123" s="77" t="s">
        <v>1360</v>
      </c>
      <c r="D1123" s="95"/>
      <c r="E1123" s="98"/>
      <c r="F1123" s="98"/>
      <c r="G1123" s="98"/>
      <c r="H1123" s="95"/>
      <c r="I1123" s="95"/>
      <c r="J1123" s="96"/>
    </row>
    <row r="1124" spans="1:10" ht="16" customHeight="1" x14ac:dyDescent="0.2">
      <c r="A1124" s="97"/>
      <c r="B1124" s="95">
        <v>283</v>
      </c>
      <c r="C1124" s="77" t="s">
        <v>1347</v>
      </c>
      <c r="D1124" s="95" t="s">
        <v>2223</v>
      </c>
      <c r="E1124" s="98">
        <v>-2E-3</v>
      </c>
      <c r="F1124" s="98">
        <v>7.5999999999999998E-2</v>
      </c>
      <c r="G1124" s="98">
        <v>0.14899999999999999</v>
      </c>
      <c r="H1124" s="95" t="s">
        <v>2224</v>
      </c>
      <c r="I1124" s="95" t="s">
        <v>1583</v>
      </c>
      <c r="J1124" s="96" t="s">
        <v>1349</v>
      </c>
    </row>
    <row r="1125" spans="1:10" x14ac:dyDescent="0.2">
      <c r="A1125" s="97"/>
      <c r="B1125" s="95"/>
      <c r="C1125" s="77" t="s">
        <v>1348</v>
      </c>
      <c r="D1125" s="95"/>
      <c r="E1125" s="98"/>
      <c r="F1125" s="98"/>
      <c r="G1125" s="98"/>
      <c r="H1125" s="95"/>
      <c r="I1125" s="95"/>
      <c r="J1125" s="96"/>
    </row>
    <row r="1126" spans="1:10" ht="16" customHeight="1" x14ac:dyDescent="0.2">
      <c r="A1126" s="97"/>
      <c r="B1126" s="95">
        <v>284</v>
      </c>
      <c r="C1126" s="77" t="s">
        <v>1311</v>
      </c>
      <c r="D1126" s="95" t="s">
        <v>1720</v>
      </c>
      <c r="E1126" s="98">
        <v>1E-3</v>
      </c>
      <c r="F1126" s="98">
        <v>-2.5999999999999999E-2</v>
      </c>
      <c r="G1126" s="98">
        <v>-0.104</v>
      </c>
      <c r="H1126" s="95" t="s">
        <v>1721</v>
      </c>
      <c r="I1126" s="95" t="s">
        <v>1584</v>
      </c>
      <c r="J1126" s="96" t="s">
        <v>1313</v>
      </c>
    </row>
    <row r="1127" spans="1:10" x14ac:dyDescent="0.2">
      <c r="A1127" s="97"/>
      <c r="B1127" s="95"/>
      <c r="C1127" s="77" t="s">
        <v>1312</v>
      </c>
      <c r="D1127" s="95"/>
      <c r="E1127" s="98"/>
      <c r="F1127" s="98"/>
      <c r="G1127" s="98"/>
      <c r="H1127" s="95"/>
      <c r="I1127" s="95"/>
      <c r="J1127" s="96"/>
    </row>
    <row r="1128" spans="1:10" ht="16" customHeight="1" x14ac:dyDescent="0.2">
      <c r="A1128" s="97"/>
      <c r="B1128" s="95">
        <v>285</v>
      </c>
      <c r="C1128" s="77" t="s">
        <v>1323</v>
      </c>
      <c r="D1128" s="95" t="s">
        <v>1670</v>
      </c>
      <c r="E1128" s="98">
        <v>-6.0000000000000001E-3</v>
      </c>
      <c r="F1128" s="98">
        <v>-8.0000000000000002E-3</v>
      </c>
      <c r="G1128" s="98">
        <v>-0.08</v>
      </c>
      <c r="H1128" s="95" t="s">
        <v>2289</v>
      </c>
      <c r="I1128" s="95" t="s">
        <v>1585</v>
      </c>
      <c r="J1128" s="96" t="s">
        <v>1325</v>
      </c>
    </row>
    <row r="1129" spans="1:10" x14ac:dyDescent="0.2">
      <c r="A1129" s="97"/>
      <c r="B1129" s="95"/>
      <c r="C1129" s="77" t="s">
        <v>1324</v>
      </c>
      <c r="D1129" s="95"/>
      <c r="E1129" s="98"/>
      <c r="F1129" s="98"/>
      <c r="G1129" s="98"/>
      <c r="H1129" s="95"/>
      <c r="I1129" s="95"/>
      <c r="J1129" s="96"/>
    </row>
    <row r="1130" spans="1:10" ht="16" customHeight="1" x14ac:dyDescent="0.2">
      <c r="A1130" s="97"/>
      <c r="B1130" s="95">
        <v>287</v>
      </c>
      <c r="C1130" s="77" t="s">
        <v>1320</v>
      </c>
      <c r="D1130" s="95" t="s">
        <v>2227</v>
      </c>
      <c r="E1130" s="98">
        <v>8.0000000000000002E-3</v>
      </c>
      <c r="F1130" s="98">
        <v>-8.9999999999999993E-3</v>
      </c>
      <c r="G1130" s="98">
        <v>-2.1999999999999999E-2</v>
      </c>
      <c r="H1130" s="95" t="s">
        <v>2228</v>
      </c>
      <c r="I1130" s="95" t="s">
        <v>2290</v>
      </c>
      <c r="J1130" s="96" t="s">
        <v>1322</v>
      </c>
    </row>
    <row r="1131" spans="1:10" x14ac:dyDescent="0.2">
      <c r="A1131" s="97"/>
      <c r="B1131" s="95"/>
      <c r="C1131" s="77" t="s">
        <v>1321</v>
      </c>
      <c r="D1131" s="95"/>
      <c r="E1131" s="98"/>
      <c r="F1131" s="98"/>
      <c r="G1131" s="98"/>
      <c r="H1131" s="95"/>
      <c r="I1131" s="95"/>
      <c r="J1131" s="96"/>
    </row>
    <row r="1132" spans="1:10" ht="16" customHeight="1" x14ac:dyDescent="0.2">
      <c r="A1132" s="97"/>
      <c r="B1132" s="95">
        <v>286</v>
      </c>
      <c r="C1132" s="77" t="s">
        <v>1326</v>
      </c>
      <c r="D1132" s="95" t="s">
        <v>2225</v>
      </c>
      <c r="E1132" s="98">
        <v>5.0000000000000001E-3</v>
      </c>
      <c r="F1132" s="98">
        <v>-3.5999999999999997E-2</v>
      </c>
      <c r="G1132" s="98">
        <v>-6.0000000000000001E-3</v>
      </c>
      <c r="H1132" s="95" t="s">
        <v>2226</v>
      </c>
      <c r="I1132" s="95" t="s">
        <v>1586</v>
      </c>
      <c r="J1132" s="96" t="s">
        <v>1328</v>
      </c>
    </row>
    <row r="1133" spans="1:10" x14ac:dyDescent="0.2">
      <c r="A1133" s="97"/>
      <c r="B1133" s="95"/>
      <c r="C1133" s="77" t="s">
        <v>1327</v>
      </c>
      <c r="D1133" s="95"/>
      <c r="E1133" s="98"/>
      <c r="F1133" s="98"/>
      <c r="G1133" s="98"/>
      <c r="H1133" s="95"/>
      <c r="I1133" s="95"/>
      <c r="J1133" s="96"/>
    </row>
    <row r="1134" spans="1:10" ht="16" customHeight="1" x14ac:dyDescent="0.2">
      <c r="A1134" s="97"/>
      <c r="B1134" s="95">
        <v>288</v>
      </c>
      <c r="C1134" s="77" t="s">
        <v>1305</v>
      </c>
      <c r="D1134" s="95" t="s">
        <v>2229</v>
      </c>
      <c r="E1134" s="98">
        <v>-8.0000000000000002E-3</v>
      </c>
      <c r="F1134" s="98">
        <v>-8.3000000000000004E-2</v>
      </c>
      <c r="G1134" s="98">
        <v>-0.185</v>
      </c>
      <c r="H1134" s="95" t="s">
        <v>2291</v>
      </c>
      <c r="I1134" s="95" t="s">
        <v>1587</v>
      </c>
      <c r="J1134" s="96" t="s">
        <v>1307</v>
      </c>
    </row>
    <row r="1135" spans="1:10" x14ac:dyDescent="0.2">
      <c r="A1135" s="97"/>
      <c r="B1135" s="95"/>
      <c r="C1135" s="77" t="s">
        <v>1306</v>
      </c>
      <c r="D1135" s="95"/>
      <c r="E1135" s="98"/>
      <c r="F1135" s="98"/>
      <c r="G1135" s="98"/>
      <c r="H1135" s="95"/>
      <c r="I1135" s="95"/>
      <c r="J1135" s="96"/>
    </row>
    <row r="1136" spans="1:10" ht="16" customHeight="1" x14ac:dyDescent="0.2">
      <c r="A1136" s="97"/>
      <c r="B1136" s="95">
        <v>290</v>
      </c>
      <c r="C1136" s="77" t="s">
        <v>1344</v>
      </c>
      <c r="D1136" s="95" t="s">
        <v>2232</v>
      </c>
      <c r="E1136" s="98">
        <v>6.0000000000000001E-3</v>
      </c>
      <c r="F1136" s="98">
        <v>-3.2000000000000001E-2</v>
      </c>
      <c r="G1136" s="98">
        <v>-4.3999999999999997E-2</v>
      </c>
      <c r="H1136" s="95" t="s">
        <v>2233</v>
      </c>
      <c r="I1136" s="95" t="s">
        <v>1588</v>
      </c>
      <c r="J1136" s="96" t="s">
        <v>1346</v>
      </c>
    </row>
    <row r="1137" spans="1:10" x14ac:dyDescent="0.2">
      <c r="A1137" s="97"/>
      <c r="B1137" s="95"/>
      <c r="C1137" s="77" t="s">
        <v>1345</v>
      </c>
      <c r="D1137" s="95"/>
      <c r="E1137" s="98"/>
      <c r="F1137" s="98"/>
      <c r="G1137" s="98"/>
      <c r="H1137" s="95"/>
      <c r="I1137" s="95"/>
      <c r="J1137" s="96"/>
    </row>
    <row r="1138" spans="1:10" ht="16" customHeight="1" x14ac:dyDescent="0.2">
      <c r="A1138" s="97"/>
      <c r="B1138" s="95">
        <v>291</v>
      </c>
      <c r="C1138" s="77" t="s">
        <v>1365</v>
      </c>
      <c r="D1138" s="95" t="s">
        <v>2292</v>
      </c>
      <c r="E1138" s="98">
        <v>-2.1000000000000001E-2</v>
      </c>
      <c r="F1138" s="98">
        <v>-5.0000000000000001E-3</v>
      </c>
      <c r="G1138" s="98">
        <v>3.4000000000000002E-2</v>
      </c>
      <c r="H1138" s="95" t="s">
        <v>2293</v>
      </c>
      <c r="I1138" s="95" t="s">
        <v>1367</v>
      </c>
      <c r="J1138" s="96" t="s">
        <v>1368</v>
      </c>
    </row>
    <row r="1139" spans="1:10" x14ac:dyDescent="0.2">
      <c r="A1139" s="97"/>
      <c r="B1139" s="95"/>
      <c r="C1139" s="77" t="s">
        <v>1366</v>
      </c>
      <c r="D1139" s="95"/>
      <c r="E1139" s="98"/>
      <c r="F1139" s="98"/>
      <c r="G1139" s="98"/>
      <c r="H1139" s="95"/>
      <c r="I1139" s="95"/>
      <c r="J1139" s="96"/>
    </row>
    <row r="1140" spans="1:10" ht="16" customHeight="1" x14ac:dyDescent="0.2">
      <c r="A1140" s="97"/>
      <c r="B1140" s="95">
        <v>292</v>
      </c>
      <c r="C1140" s="77" t="s">
        <v>1350</v>
      </c>
      <c r="D1140" s="95" t="s">
        <v>2234</v>
      </c>
      <c r="E1140" s="98">
        <v>-4.0000000000000001E-3</v>
      </c>
      <c r="F1140" s="98">
        <v>-7.0000000000000001E-3</v>
      </c>
      <c r="G1140" s="98">
        <v>1.2999999999999999E-2</v>
      </c>
      <c r="H1140" s="95" t="s">
        <v>2235</v>
      </c>
      <c r="I1140" s="95" t="s">
        <v>2294</v>
      </c>
      <c r="J1140" s="96" t="s">
        <v>1352</v>
      </c>
    </row>
    <row r="1141" spans="1:10" x14ac:dyDescent="0.2">
      <c r="A1141" s="97"/>
      <c r="B1141" s="95"/>
      <c r="C1141" s="77" t="s">
        <v>1351</v>
      </c>
      <c r="D1141" s="95"/>
      <c r="E1141" s="98"/>
      <c r="F1141" s="98"/>
      <c r="G1141" s="98"/>
      <c r="H1141" s="95"/>
      <c r="I1141" s="95"/>
      <c r="J1141" s="96"/>
    </row>
    <row r="1142" spans="1:10" ht="16" customHeight="1" x14ac:dyDescent="0.2">
      <c r="A1142" s="97"/>
      <c r="B1142" s="95">
        <v>293</v>
      </c>
      <c r="C1142" s="77" t="s">
        <v>1376</v>
      </c>
      <c r="D1142" s="95" t="s">
        <v>2295</v>
      </c>
      <c r="E1142" s="98">
        <v>1E-3</v>
      </c>
      <c r="F1142" s="98">
        <v>-6.4000000000000001E-2</v>
      </c>
      <c r="G1142" s="98">
        <v>8.0000000000000002E-3</v>
      </c>
      <c r="H1142" s="95" t="s">
        <v>2296</v>
      </c>
      <c r="I1142" s="95" t="s">
        <v>1589</v>
      </c>
      <c r="J1142" s="96" t="s">
        <v>1378</v>
      </c>
    </row>
    <row r="1143" spans="1:10" x14ac:dyDescent="0.2">
      <c r="A1143" s="97"/>
      <c r="B1143" s="95"/>
      <c r="C1143" s="77" t="s">
        <v>1377</v>
      </c>
      <c r="D1143" s="95"/>
      <c r="E1143" s="98"/>
      <c r="F1143" s="98"/>
      <c r="G1143" s="98"/>
      <c r="H1143" s="95"/>
      <c r="I1143" s="95"/>
      <c r="J1143" s="96"/>
    </row>
    <row r="1144" spans="1:10" ht="16" customHeight="1" x14ac:dyDescent="0.2">
      <c r="A1144" s="97"/>
      <c r="B1144" s="95">
        <v>294</v>
      </c>
      <c r="C1144" s="77" t="s">
        <v>1401</v>
      </c>
      <c r="D1144" s="95" t="s">
        <v>1671</v>
      </c>
      <c r="E1144" s="98">
        <v>-3.4000000000000002E-2</v>
      </c>
      <c r="F1144" s="98">
        <v>7.5999999999999998E-2</v>
      </c>
      <c r="G1144" s="98">
        <v>2.8000000000000001E-2</v>
      </c>
      <c r="H1144" s="95" t="s">
        <v>1672</v>
      </c>
      <c r="I1144" s="95" t="s">
        <v>1590</v>
      </c>
      <c r="J1144" s="96" t="s">
        <v>1403</v>
      </c>
    </row>
    <row r="1145" spans="1:10" x14ac:dyDescent="0.2">
      <c r="A1145" s="97"/>
      <c r="B1145" s="95"/>
      <c r="C1145" s="77" t="s">
        <v>1402</v>
      </c>
      <c r="D1145" s="95"/>
      <c r="E1145" s="98"/>
      <c r="F1145" s="98"/>
      <c r="G1145" s="98"/>
      <c r="H1145" s="95"/>
      <c r="I1145" s="95"/>
      <c r="J1145" s="96"/>
    </row>
    <row r="1146" spans="1:10" ht="16" customHeight="1" x14ac:dyDescent="0.2">
      <c r="A1146" s="97"/>
      <c r="B1146" s="95">
        <v>295</v>
      </c>
      <c r="C1146" s="77" t="s">
        <v>1338</v>
      </c>
      <c r="D1146" s="95" t="s">
        <v>2236</v>
      </c>
      <c r="E1146" s="98">
        <v>2E-3</v>
      </c>
      <c r="F1146" s="98">
        <v>-2.7E-2</v>
      </c>
      <c r="G1146" s="98">
        <v>-2.1999999999999999E-2</v>
      </c>
      <c r="H1146" s="95" t="s">
        <v>2237</v>
      </c>
      <c r="I1146" s="95" t="s">
        <v>1591</v>
      </c>
      <c r="J1146" s="96" t="s">
        <v>1340</v>
      </c>
    </row>
    <row r="1147" spans="1:10" x14ac:dyDescent="0.2">
      <c r="A1147" s="97"/>
      <c r="B1147" s="95"/>
      <c r="C1147" s="77" t="s">
        <v>1339</v>
      </c>
      <c r="D1147" s="95"/>
      <c r="E1147" s="98"/>
      <c r="F1147" s="98"/>
      <c r="G1147" s="98"/>
      <c r="H1147" s="95"/>
      <c r="I1147" s="95"/>
      <c r="J1147" s="96"/>
    </row>
    <row r="1148" spans="1:10" ht="16" customHeight="1" x14ac:dyDescent="0.2">
      <c r="A1148" s="97"/>
      <c r="B1148" s="95">
        <v>296</v>
      </c>
      <c r="C1148" s="77" t="s">
        <v>1407</v>
      </c>
      <c r="D1148" s="95" t="s">
        <v>2297</v>
      </c>
      <c r="E1148" s="98">
        <v>6.0000000000000001E-3</v>
      </c>
      <c r="F1148" s="98">
        <v>0.11</v>
      </c>
      <c r="G1148" s="98">
        <v>1.4999999999999999E-2</v>
      </c>
      <c r="H1148" s="95" t="s">
        <v>2298</v>
      </c>
      <c r="I1148" s="95" t="s">
        <v>1592</v>
      </c>
      <c r="J1148" s="96" t="s">
        <v>1409</v>
      </c>
    </row>
    <row r="1149" spans="1:10" x14ac:dyDescent="0.2">
      <c r="A1149" s="97"/>
      <c r="B1149" s="95"/>
      <c r="C1149" s="77" t="s">
        <v>1408</v>
      </c>
      <c r="D1149" s="95"/>
      <c r="E1149" s="98"/>
      <c r="F1149" s="98"/>
      <c r="G1149" s="98"/>
      <c r="H1149" s="95"/>
      <c r="I1149" s="95"/>
      <c r="J1149" s="96"/>
    </row>
    <row r="1150" spans="1:10" ht="16" customHeight="1" x14ac:dyDescent="0.2">
      <c r="A1150" s="97"/>
      <c r="B1150" s="95">
        <v>297</v>
      </c>
      <c r="C1150" s="77" t="s">
        <v>1382</v>
      </c>
      <c r="D1150" s="95" t="s">
        <v>1441</v>
      </c>
      <c r="E1150" s="98">
        <v>-3.1E-2</v>
      </c>
      <c r="F1150" s="98">
        <v>8.9999999999999993E-3</v>
      </c>
      <c r="G1150" s="98">
        <v>3.7999999999999999E-2</v>
      </c>
      <c r="H1150" s="95" t="s">
        <v>1722</v>
      </c>
      <c r="I1150" s="95" t="s">
        <v>1593</v>
      </c>
      <c r="J1150" s="96" t="s">
        <v>1384</v>
      </c>
    </row>
    <row r="1151" spans="1:10" x14ac:dyDescent="0.2">
      <c r="A1151" s="97"/>
      <c r="B1151" s="95"/>
      <c r="C1151" s="77" t="s">
        <v>1383</v>
      </c>
      <c r="D1151" s="95"/>
      <c r="E1151" s="98"/>
      <c r="F1151" s="98"/>
      <c r="G1151" s="98"/>
      <c r="H1151" s="95"/>
      <c r="I1151" s="95"/>
      <c r="J1151" s="96"/>
    </row>
    <row r="1152" spans="1:10" ht="16" customHeight="1" x14ac:dyDescent="0.2">
      <c r="A1152" s="97"/>
      <c r="B1152" s="95">
        <v>298</v>
      </c>
      <c r="C1152" s="77" t="s">
        <v>1379</v>
      </c>
      <c r="D1152" s="95" t="s">
        <v>2299</v>
      </c>
      <c r="E1152" s="98">
        <v>4.0000000000000001E-3</v>
      </c>
      <c r="F1152" s="98">
        <v>6.0000000000000001E-3</v>
      </c>
      <c r="G1152" s="98">
        <v>0.03</v>
      </c>
      <c r="H1152" s="95" t="s">
        <v>2300</v>
      </c>
      <c r="I1152" s="95" t="s">
        <v>1594</v>
      </c>
      <c r="J1152" s="96" t="s">
        <v>1381</v>
      </c>
    </row>
    <row r="1153" spans="1:10" x14ac:dyDescent="0.2">
      <c r="A1153" s="97"/>
      <c r="B1153" s="95"/>
      <c r="C1153" s="77" t="s">
        <v>1380</v>
      </c>
      <c r="D1153" s="95"/>
      <c r="E1153" s="98"/>
      <c r="F1153" s="98"/>
      <c r="G1153" s="98"/>
      <c r="H1153" s="95"/>
      <c r="I1153" s="95"/>
      <c r="J1153" s="96"/>
    </row>
    <row r="1154" spans="1:10" ht="16" customHeight="1" x14ac:dyDescent="0.2">
      <c r="A1154" s="97"/>
      <c r="B1154" s="95">
        <v>299</v>
      </c>
      <c r="C1154" s="77" t="s">
        <v>1414</v>
      </c>
      <c r="D1154" s="95" t="s">
        <v>2301</v>
      </c>
      <c r="E1154" s="98">
        <v>-3.0000000000000001E-3</v>
      </c>
      <c r="F1154" s="98">
        <v>-2.8000000000000001E-2</v>
      </c>
      <c r="G1154" s="98">
        <v>3.2000000000000001E-2</v>
      </c>
      <c r="H1154" s="95" t="s">
        <v>2302</v>
      </c>
      <c r="I1154" s="95" t="s">
        <v>1595</v>
      </c>
      <c r="J1154" s="96" t="s">
        <v>1416</v>
      </c>
    </row>
    <row r="1155" spans="1:10" x14ac:dyDescent="0.2">
      <c r="A1155" s="97"/>
      <c r="B1155" s="95"/>
      <c r="C1155" s="77" t="s">
        <v>1415</v>
      </c>
      <c r="D1155" s="95"/>
      <c r="E1155" s="98"/>
      <c r="F1155" s="98"/>
      <c r="G1155" s="98"/>
      <c r="H1155" s="95"/>
      <c r="I1155" s="95"/>
      <c r="J1155" s="96"/>
    </row>
    <row r="1156" spans="1:10" ht="16" customHeight="1" x14ac:dyDescent="0.2">
      <c r="A1156" s="97"/>
      <c r="B1156" s="95">
        <v>300</v>
      </c>
      <c r="C1156" s="77" t="s">
        <v>1596</v>
      </c>
      <c r="D1156" s="95" t="s">
        <v>1723</v>
      </c>
      <c r="E1156" s="98">
        <v>1E-3</v>
      </c>
      <c r="F1156" s="98">
        <v>-3.0000000000000001E-3</v>
      </c>
      <c r="G1156" s="98">
        <v>-2.5999999999999999E-2</v>
      </c>
      <c r="H1156" s="95" t="s">
        <v>1724</v>
      </c>
      <c r="I1156" s="95" t="s">
        <v>1598</v>
      </c>
      <c r="J1156" s="96" t="s">
        <v>1599</v>
      </c>
    </row>
    <row r="1157" spans="1:10" x14ac:dyDescent="0.2">
      <c r="A1157" s="97"/>
      <c r="B1157" s="95"/>
      <c r="C1157" s="77" t="s">
        <v>1597</v>
      </c>
      <c r="D1157" s="95"/>
      <c r="E1157" s="98"/>
      <c r="F1157" s="98"/>
      <c r="G1157" s="98"/>
      <c r="H1157" s="95"/>
      <c r="I1157" s="95"/>
      <c r="J1157" s="96"/>
    </row>
    <row r="1158" spans="1:10" x14ac:dyDescent="0.2">
      <c r="A1158" s="15"/>
    </row>
    <row r="1159" spans="1:10" x14ac:dyDescent="0.2">
      <c r="A1159" s="16" t="s">
        <v>697</v>
      </c>
    </row>
    <row r="1160" spans="1:10" x14ac:dyDescent="0.2">
      <c r="A1160" s="16">
        <v>1</v>
      </c>
    </row>
    <row r="1161" spans="1:10" x14ac:dyDescent="0.2">
      <c r="A1161" s="16">
        <v>2</v>
      </c>
    </row>
    <row r="1162" spans="1:10" x14ac:dyDescent="0.2">
      <c r="A1162" s="16">
        <v>3</v>
      </c>
    </row>
    <row r="1163" spans="1:10" x14ac:dyDescent="0.2">
      <c r="A1163" s="16">
        <v>4</v>
      </c>
    </row>
    <row r="1164" spans="1:10" x14ac:dyDescent="0.2">
      <c r="A1164" s="16">
        <v>5</v>
      </c>
    </row>
    <row r="1165" spans="1:10" x14ac:dyDescent="0.2">
      <c r="A1165" s="16">
        <v>6</v>
      </c>
    </row>
    <row r="1166" spans="1:10" x14ac:dyDescent="0.2">
      <c r="A1166" s="16">
        <v>7</v>
      </c>
    </row>
    <row r="1167" spans="1:10" x14ac:dyDescent="0.2">
      <c r="A1167" s="16" t="s">
        <v>698</v>
      </c>
    </row>
    <row r="1168" spans="1:10" x14ac:dyDescent="0.2">
      <c r="A1168" s="16">
        <v>95</v>
      </c>
    </row>
    <row r="1169" spans="1:1" x14ac:dyDescent="0.2">
      <c r="A1169" s="16" t="s">
        <v>699</v>
      </c>
    </row>
    <row r="1171" spans="1:1" x14ac:dyDescent="0.2">
      <c r="A1171" s="13" t="s">
        <v>700</v>
      </c>
    </row>
    <row r="1172" spans="1:1" x14ac:dyDescent="0.2">
      <c r="A1172" s="23">
        <v>44228</v>
      </c>
    </row>
    <row r="1173" spans="1:1" x14ac:dyDescent="0.2">
      <c r="A1173" s="14" t="s">
        <v>1034</v>
      </c>
    </row>
    <row r="1174" spans="1:1" x14ac:dyDescent="0.2">
      <c r="A1174" s="14" t="s">
        <v>1630</v>
      </c>
    </row>
    <row r="1175" spans="1:1" x14ac:dyDescent="0.2">
      <c r="A1175" s="14" t="s">
        <v>1396</v>
      </c>
    </row>
    <row r="1176" spans="1:1" x14ac:dyDescent="0.2">
      <c r="A1176" s="14" t="s">
        <v>1631</v>
      </c>
    </row>
    <row r="1177" spans="1:1" x14ac:dyDescent="0.2">
      <c r="A1177" s="14" t="s">
        <v>1397</v>
      </c>
    </row>
    <row r="1178" spans="1:1" x14ac:dyDescent="0.2">
      <c r="A1178" s="14" t="s">
        <v>1632</v>
      </c>
    </row>
    <row r="1179" spans="1:1" x14ac:dyDescent="0.2">
      <c r="A1179" s="14" t="s">
        <v>966</v>
      </c>
    </row>
    <row r="1180" spans="1:1" x14ac:dyDescent="0.2">
      <c r="A1180" s="14" t="s">
        <v>1633</v>
      </c>
    </row>
    <row r="1181" spans="1:1" x14ac:dyDescent="0.2">
      <c r="A1181" s="14" t="s">
        <v>1399</v>
      </c>
    </row>
    <row r="1182" spans="1:1" x14ac:dyDescent="0.2">
      <c r="A1182" s="14" t="s">
        <v>1634</v>
      </c>
    </row>
    <row r="1183" spans="1:1" x14ac:dyDescent="0.2">
      <c r="A1183" s="14" t="s">
        <v>1398</v>
      </c>
    </row>
    <row r="1184" spans="1:1" x14ac:dyDescent="0.2">
      <c r="A1184" s="14" t="s">
        <v>1635</v>
      </c>
    </row>
    <row r="1185" spans="1:1" x14ac:dyDescent="0.2">
      <c r="A1185" s="14" t="s">
        <v>96</v>
      </c>
    </row>
    <row r="1186" spans="1:1" x14ac:dyDescent="0.2">
      <c r="A1186" s="14" t="s">
        <v>1636</v>
      </c>
    </row>
    <row r="1187" spans="1:1" x14ac:dyDescent="0.2">
      <c r="A1187" s="14" t="s">
        <v>701</v>
      </c>
    </row>
    <row r="1188" spans="1:1" x14ac:dyDescent="0.2">
      <c r="A1188" s="14" t="s">
        <v>701</v>
      </c>
    </row>
    <row r="1189" spans="1:1" x14ac:dyDescent="0.2">
      <c r="A1189" s="14" t="s">
        <v>702</v>
      </c>
    </row>
    <row r="1190" spans="1:1" x14ac:dyDescent="0.2">
      <c r="A1190" s="14" t="s">
        <v>703</v>
      </c>
    </row>
    <row r="1192" spans="1:1" ht="19" x14ac:dyDescent="0.2">
      <c r="A1192" s="24" t="s">
        <v>704</v>
      </c>
    </row>
    <row r="1193" spans="1:1" x14ac:dyDescent="0.2">
      <c r="A1193" s="17"/>
    </row>
    <row r="1194" spans="1:1" x14ac:dyDescent="0.2">
      <c r="A1194" s="25" t="s">
        <v>705</v>
      </c>
    </row>
    <row r="1195" spans="1:1" x14ac:dyDescent="0.2">
      <c r="A1195" s="17"/>
    </row>
    <row r="1196" spans="1:1" ht="19" x14ac:dyDescent="0.2">
      <c r="A1196" s="24" t="s">
        <v>706</v>
      </c>
    </row>
    <row r="1197" spans="1:1" x14ac:dyDescent="0.2">
      <c r="A1197" s="17"/>
    </row>
    <row r="1198" spans="1:1" ht="19" x14ac:dyDescent="0.2">
      <c r="A1198" s="24" t="s">
        <v>707</v>
      </c>
    </row>
    <row r="1199" spans="1:1" x14ac:dyDescent="0.2">
      <c r="A1199" s="17"/>
    </row>
    <row r="1200" spans="1:1" ht="19" x14ac:dyDescent="0.2">
      <c r="A1200" s="24" t="s">
        <v>708</v>
      </c>
    </row>
    <row r="1201" spans="1:1" x14ac:dyDescent="0.2">
      <c r="A1201" s="17"/>
    </row>
    <row r="1202" spans="1:1" ht="19" x14ac:dyDescent="0.2">
      <c r="A1202" s="24" t="s">
        <v>709</v>
      </c>
    </row>
    <row r="1203" spans="1:1" x14ac:dyDescent="0.2">
      <c r="A1203" s="17"/>
    </row>
    <row r="1204" spans="1:1" ht="19" x14ac:dyDescent="0.2">
      <c r="A1204" s="24" t="s">
        <v>710</v>
      </c>
    </row>
    <row r="1205" spans="1:1" x14ac:dyDescent="0.2">
      <c r="A1205" s="17"/>
    </row>
    <row r="1206" spans="1:1" ht="19" x14ac:dyDescent="0.2">
      <c r="A1206" s="24" t="s">
        <v>711</v>
      </c>
    </row>
    <row r="1207" spans="1:1" ht="19" x14ac:dyDescent="0.2">
      <c r="A1207" s="24" t="s">
        <v>712</v>
      </c>
    </row>
    <row r="1208" spans="1:1" ht="19" x14ac:dyDescent="0.2">
      <c r="A1208" s="24" t="s">
        <v>713</v>
      </c>
    </row>
    <row r="1209" spans="1:1" ht="19" x14ac:dyDescent="0.2">
      <c r="A1209" s="24" t="s">
        <v>714</v>
      </c>
    </row>
    <row r="1210" spans="1:1" x14ac:dyDescent="0.2">
      <c r="A1210" s="25" t="s">
        <v>715</v>
      </c>
    </row>
    <row r="1211" spans="1:1" x14ac:dyDescent="0.2">
      <c r="A1211" s="25" t="s">
        <v>716</v>
      </c>
    </row>
    <row r="1213" spans="1:1" x14ac:dyDescent="0.2">
      <c r="A1213" s="17"/>
    </row>
    <row r="1214" spans="1:1" x14ac:dyDescent="0.2">
      <c r="A1214" s="25" t="s">
        <v>717</v>
      </c>
    </row>
    <row r="1215" spans="1:1" ht="19" x14ac:dyDescent="0.2">
      <c r="A1215" s="24" t="s">
        <v>718</v>
      </c>
    </row>
    <row r="1216" spans="1:1" ht="19" x14ac:dyDescent="0.2">
      <c r="A1216" s="24" t="s">
        <v>719</v>
      </c>
    </row>
    <row r="1217" spans="1:1" ht="19" x14ac:dyDescent="0.2">
      <c r="A1217" s="24" t="s">
        <v>712</v>
      </c>
    </row>
    <row r="1218" spans="1:1" x14ac:dyDescent="0.2">
      <c r="A1218" s="25" t="s">
        <v>720</v>
      </c>
    </row>
    <row r="1219" spans="1:1" ht="19" x14ac:dyDescent="0.2">
      <c r="A1219" s="24" t="s">
        <v>721</v>
      </c>
    </row>
    <row r="1220" spans="1:1" ht="19" x14ac:dyDescent="0.2">
      <c r="A1220" s="24" t="s">
        <v>722</v>
      </c>
    </row>
    <row r="1221" spans="1:1" ht="19" x14ac:dyDescent="0.2">
      <c r="A1221" s="24" t="s">
        <v>712</v>
      </c>
    </row>
    <row r="1222" spans="1:1" x14ac:dyDescent="0.2">
      <c r="A1222" s="25" t="s">
        <v>720</v>
      </c>
    </row>
    <row r="1223" spans="1:1" x14ac:dyDescent="0.2">
      <c r="A1223" s="17"/>
    </row>
    <row r="1224" spans="1:1" x14ac:dyDescent="0.2">
      <c r="A1224" s="17"/>
    </row>
    <row r="1225" spans="1:1" ht="19" x14ac:dyDescent="0.2">
      <c r="A1225" s="24" t="s">
        <v>723</v>
      </c>
    </row>
    <row r="1226" spans="1:1" ht="19" x14ac:dyDescent="0.2">
      <c r="A1226" s="24" t="s">
        <v>712</v>
      </c>
    </row>
    <row r="1227" spans="1:1" ht="19" x14ac:dyDescent="0.2">
      <c r="A1227" s="24" t="s">
        <v>991</v>
      </c>
    </row>
    <row r="1228" spans="1:1" x14ac:dyDescent="0.2">
      <c r="A1228" s="17"/>
    </row>
    <row r="1229" spans="1:1" ht="19" x14ac:dyDescent="0.2">
      <c r="A1229" s="24" t="s">
        <v>724</v>
      </c>
    </row>
    <row r="1230" spans="1:1" x14ac:dyDescent="0.2">
      <c r="A1230" s="17"/>
    </row>
    <row r="1231" spans="1:1" ht="19" x14ac:dyDescent="0.2">
      <c r="A1231" s="24" t="s">
        <v>725</v>
      </c>
    </row>
    <row r="1232" spans="1:1" ht="19" x14ac:dyDescent="0.2">
      <c r="A1232" s="24" t="s">
        <v>726</v>
      </c>
    </row>
    <row r="1233" spans="1:1" x14ac:dyDescent="0.2">
      <c r="A1233" s="25" t="s">
        <v>727</v>
      </c>
    </row>
    <row r="1235" spans="1:1" x14ac:dyDescent="0.2">
      <c r="A1235" s="17"/>
    </row>
    <row r="1236" spans="1:1" x14ac:dyDescent="0.2">
      <c r="A1236" s="25" t="s">
        <v>728</v>
      </c>
    </row>
    <row r="1237" spans="1:1" x14ac:dyDescent="0.2">
      <c r="A1237" s="17"/>
    </row>
    <row r="1238" spans="1:1" x14ac:dyDescent="0.2">
      <c r="A1238" s="25" t="s">
        <v>729</v>
      </c>
    </row>
    <row r="1239" spans="1:1" ht="19" x14ac:dyDescent="0.2">
      <c r="A1239" s="24" t="s">
        <v>1035</v>
      </c>
    </row>
    <row r="1240" spans="1:1" ht="19" x14ac:dyDescent="0.2">
      <c r="A1240" s="24" t="s">
        <v>1036</v>
      </c>
    </row>
    <row r="1241" spans="1:1" ht="19" x14ac:dyDescent="0.2">
      <c r="A1241" s="24" t="s">
        <v>1037</v>
      </c>
    </row>
    <row r="1242" spans="1:1" ht="19" x14ac:dyDescent="0.2">
      <c r="A1242" s="24" t="s">
        <v>730</v>
      </c>
    </row>
    <row r="1243" spans="1:1" ht="19" x14ac:dyDescent="0.2">
      <c r="A1243" s="24" t="s">
        <v>1038</v>
      </c>
    </row>
    <row r="1244" spans="1:1" x14ac:dyDescent="0.2">
      <c r="A1244" s="25" t="s">
        <v>1039</v>
      </c>
    </row>
    <row r="1245" spans="1:1" x14ac:dyDescent="0.2">
      <c r="A1245" s="25" t="s">
        <v>1040</v>
      </c>
    </row>
    <row r="1246" spans="1:1" x14ac:dyDescent="0.2">
      <c r="A1246" s="25" t="s">
        <v>1041</v>
      </c>
    </row>
    <row r="1247" spans="1:1" x14ac:dyDescent="0.2">
      <c r="A1247" s="25" t="s">
        <v>1042</v>
      </c>
    </row>
    <row r="1248" spans="1:1" x14ac:dyDescent="0.2">
      <c r="A1248" s="25" t="s">
        <v>1043</v>
      </c>
    </row>
    <row r="1249" spans="1:1" x14ac:dyDescent="0.2">
      <c r="A1249" s="25" t="s">
        <v>1044</v>
      </c>
    </row>
    <row r="1250" spans="1:1" x14ac:dyDescent="0.2">
      <c r="A1250" s="25" t="s">
        <v>1045</v>
      </c>
    </row>
    <row r="1251" spans="1:1" ht="19" x14ac:dyDescent="0.2">
      <c r="A1251" s="24" t="s">
        <v>1046</v>
      </c>
    </row>
    <row r="1252" spans="1:1" x14ac:dyDescent="0.2">
      <c r="A1252" s="25" t="s">
        <v>1047</v>
      </c>
    </row>
    <row r="1253" spans="1:1" x14ac:dyDescent="0.2">
      <c r="A1253" s="25" t="s">
        <v>1048</v>
      </c>
    </row>
    <row r="1254" spans="1:1" ht="19" x14ac:dyDescent="0.2">
      <c r="A1254" s="24" t="s">
        <v>731</v>
      </c>
    </row>
    <row r="1255" spans="1:1" x14ac:dyDescent="0.2">
      <c r="A1255" s="25" t="s">
        <v>1049</v>
      </c>
    </row>
    <row r="1256" spans="1:1" ht="19" x14ac:dyDescent="0.2">
      <c r="A1256" s="27" t="s">
        <v>1369</v>
      </c>
    </row>
    <row r="1257" spans="1:1" ht="19" x14ac:dyDescent="0.2">
      <c r="A1257" s="24" t="s">
        <v>733</v>
      </c>
    </row>
    <row r="1259" spans="1:1" x14ac:dyDescent="0.2">
      <c r="A1259" s="17"/>
    </row>
    <row r="1260" spans="1:1" x14ac:dyDescent="0.2">
      <c r="A1260" s="26" t="s">
        <v>734</v>
      </c>
    </row>
    <row r="1261" spans="1:1" x14ac:dyDescent="0.2">
      <c r="A1261" s="25" t="s">
        <v>1050</v>
      </c>
    </row>
    <row r="1262" spans="1:1" ht="19" x14ac:dyDescent="0.2">
      <c r="A1262" s="27" t="s">
        <v>1370</v>
      </c>
    </row>
    <row r="1263" spans="1:1" ht="19" x14ac:dyDescent="0.2">
      <c r="A1263" s="24" t="s">
        <v>736</v>
      </c>
    </row>
    <row r="1265" spans="1:1" x14ac:dyDescent="0.2">
      <c r="A1265" s="17"/>
    </row>
    <row r="1266" spans="1:1" x14ac:dyDescent="0.2">
      <c r="A1266" s="26" t="s">
        <v>734</v>
      </c>
    </row>
    <row r="1267" spans="1:1" ht="19" x14ac:dyDescent="0.2">
      <c r="A1267" s="24" t="s">
        <v>232</v>
      </c>
    </row>
    <row r="1268" spans="1:1" x14ac:dyDescent="0.2">
      <c r="A1268" s="25" t="s">
        <v>1051</v>
      </c>
    </row>
    <row r="1269" spans="1:1" x14ac:dyDescent="0.2">
      <c r="A1269" s="25" t="s">
        <v>1052</v>
      </c>
    </row>
    <row r="1270" spans="1:1" x14ac:dyDescent="0.2">
      <c r="A1270" s="25" t="s">
        <v>1053</v>
      </c>
    </row>
    <row r="1271" spans="1:1" x14ac:dyDescent="0.2">
      <c r="A1271" s="25" t="s">
        <v>1054</v>
      </c>
    </row>
    <row r="1272" spans="1:1" x14ac:dyDescent="0.2">
      <c r="A1272" s="25" t="s">
        <v>1055</v>
      </c>
    </row>
    <row r="1273" spans="1:1" x14ac:dyDescent="0.2">
      <c r="A1273" s="25" t="s">
        <v>1056</v>
      </c>
    </row>
    <row r="1274" spans="1:1" x14ac:dyDescent="0.2">
      <c r="A1274" s="25" t="s">
        <v>1057</v>
      </c>
    </row>
    <row r="1275" spans="1:1" x14ac:dyDescent="0.2">
      <c r="A1275" s="25" t="s">
        <v>1058</v>
      </c>
    </row>
    <row r="1276" spans="1:1" ht="19" x14ac:dyDescent="0.2">
      <c r="A1276" s="24" t="s">
        <v>737</v>
      </c>
    </row>
    <row r="1277" spans="1:1" ht="19" x14ac:dyDescent="0.2">
      <c r="A1277" s="24" t="s">
        <v>738</v>
      </c>
    </row>
    <row r="1278" spans="1:1" ht="19" x14ac:dyDescent="0.2">
      <c r="A1278" s="24" t="s">
        <v>739</v>
      </c>
    </row>
    <row r="1279" spans="1:1" ht="19" x14ac:dyDescent="0.2">
      <c r="A1279" s="24" t="s">
        <v>740</v>
      </c>
    </row>
    <row r="1280" spans="1:1" ht="19" x14ac:dyDescent="0.2">
      <c r="A1280" s="24" t="s">
        <v>741</v>
      </c>
    </row>
    <row r="1281" spans="1:1" ht="19" x14ac:dyDescent="0.2">
      <c r="A1281" s="24" t="s">
        <v>730</v>
      </c>
    </row>
    <row r="1282" spans="1:1" ht="19" x14ac:dyDescent="0.2">
      <c r="A1282" s="24" t="s">
        <v>742</v>
      </c>
    </row>
    <row r="1283" spans="1:1" ht="19" x14ac:dyDescent="0.2">
      <c r="A1283" s="24" t="s">
        <v>743</v>
      </c>
    </row>
    <row r="1284" spans="1:1" x14ac:dyDescent="0.2">
      <c r="A1284" s="25" t="s">
        <v>744</v>
      </c>
    </row>
    <row r="1285" spans="1:1" ht="19" x14ac:dyDescent="0.2">
      <c r="A1285" s="24" t="s">
        <v>742</v>
      </c>
    </row>
    <row r="1286" spans="1:1" ht="19" x14ac:dyDescent="0.2">
      <c r="A1286" s="24" t="s">
        <v>745</v>
      </c>
    </row>
    <row r="1287" spans="1:1" x14ac:dyDescent="0.2">
      <c r="A1287" s="25" t="s">
        <v>744</v>
      </c>
    </row>
    <row r="1288" spans="1:1" x14ac:dyDescent="0.2">
      <c r="A1288" s="25" t="s">
        <v>746</v>
      </c>
    </row>
    <row r="1289" spans="1:1" ht="19" x14ac:dyDescent="0.2">
      <c r="A1289" s="28" t="s">
        <v>747</v>
      </c>
    </row>
  </sheetData>
  <mergeCells count="900">
    <mergeCell ref="A1156:A1157"/>
    <mergeCell ref="B1156:B1157"/>
    <mergeCell ref="D1156:D1157"/>
    <mergeCell ref="E1156:E1157"/>
    <mergeCell ref="F1156:F1157"/>
    <mergeCell ref="G1156:G1157"/>
    <mergeCell ref="H1156:H1157"/>
    <mergeCell ref="I1156:I1157"/>
    <mergeCell ref="J1156:J1157"/>
    <mergeCell ref="A1154:A1155"/>
    <mergeCell ref="B1154:B1155"/>
    <mergeCell ref="D1154:D1155"/>
    <mergeCell ref="E1154:E1155"/>
    <mergeCell ref="F1154:F1155"/>
    <mergeCell ref="G1154:G1155"/>
    <mergeCell ref="H1154:H1155"/>
    <mergeCell ref="I1154:I1155"/>
    <mergeCell ref="J1154:J1155"/>
    <mergeCell ref="H1150:H1151"/>
    <mergeCell ref="I1150:I1151"/>
    <mergeCell ref="J1150:J1151"/>
    <mergeCell ref="A1152:A1153"/>
    <mergeCell ref="B1152:B1153"/>
    <mergeCell ref="D1152:D1153"/>
    <mergeCell ref="E1152:E1153"/>
    <mergeCell ref="F1152:F1153"/>
    <mergeCell ref="G1152:G1153"/>
    <mergeCell ref="H1152:H1153"/>
    <mergeCell ref="A1150:A1151"/>
    <mergeCell ref="B1150:B1151"/>
    <mergeCell ref="D1150:D1151"/>
    <mergeCell ref="E1150:E1151"/>
    <mergeCell ref="F1150:F1151"/>
    <mergeCell ref="G1150:G1151"/>
    <mergeCell ref="I1152:I1153"/>
    <mergeCell ref="J1152:J1153"/>
    <mergeCell ref="A1148:A1149"/>
    <mergeCell ref="B1148:B1149"/>
    <mergeCell ref="D1148:D1149"/>
    <mergeCell ref="E1148:E1149"/>
    <mergeCell ref="F1148:F1149"/>
    <mergeCell ref="G1148:G1149"/>
    <mergeCell ref="H1148:H1149"/>
    <mergeCell ref="I1148:I1149"/>
    <mergeCell ref="J1148:J1149"/>
    <mergeCell ref="A1146:A1147"/>
    <mergeCell ref="B1146:B1147"/>
    <mergeCell ref="D1146:D1147"/>
    <mergeCell ref="E1146:E1147"/>
    <mergeCell ref="F1146:F1147"/>
    <mergeCell ref="G1146:G1147"/>
    <mergeCell ref="H1146:H1147"/>
    <mergeCell ref="I1146:I1147"/>
    <mergeCell ref="J1146:J1147"/>
    <mergeCell ref="H1142:H1143"/>
    <mergeCell ref="I1142:I1143"/>
    <mergeCell ref="J1142:J1143"/>
    <mergeCell ref="A1144:A1145"/>
    <mergeCell ref="B1144:B1145"/>
    <mergeCell ref="D1144:D1145"/>
    <mergeCell ref="E1144:E1145"/>
    <mergeCell ref="F1144:F1145"/>
    <mergeCell ref="G1144:G1145"/>
    <mergeCell ref="H1144:H1145"/>
    <mergeCell ref="A1142:A1143"/>
    <mergeCell ref="B1142:B1143"/>
    <mergeCell ref="D1142:D1143"/>
    <mergeCell ref="E1142:E1143"/>
    <mergeCell ref="F1142:F1143"/>
    <mergeCell ref="G1142:G1143"/>
    <mergeCell ref="I1144:I1145"/>
    <mergeCell ref="J1144:J1145"/>
    <mergeCell ref="A1140:A1141"/>
    <mergeCell ref="B1140:B1141"/>
    <mergeCell ref="D1140:D1141"/>
    <mergeCell ref="E1140:E1141"/>
    <mergeCell ref="F1140:F1141"/>
    <mergeCell ref="G1140:G1141"/>
    <mergeCell ref="H1140:H1141"/>
    <mergeCell ref="I1140:I1141"/>
    <mergeCell ref="J1140:J1141"/>
    <mergeCell ref="A1138:A1139"/>
    <mergeCell ref="B1138:B1139"/>
    <mergeCell ref="D1138:D1139"/>
    <mergeCell ref="E1138:E1139"/>
    <mergeCell ref="F1138:F1139"/>
    <mergeCell ref="G1138:G1139"/>
    <mergeCell ref="H1138:H1139"/>
    <mergeCell ref="I1138:I1139"/>
    <mergeCell ref="J1138:J1139"/>
    <mergeCell ref="H1134:H1135"/>
    <mergeCell ref="I1134:I1135"/>
    <mergeCell ref="J1134:J1135"/>
    <mergeCell ref="A1136:A1137"/>
    <mergeCell ref="B1136:B1137"/>
    <mergeCell ref="D1136:D1137"/>
    <mergeCell ref="E1136:E1137"/>
    <mergeCell ref="F1136:F1137"/>
    <mergeCell ref="G1136:G1137"/>
    <mergeCell ref="H1136:H1137"/>
    <mergeCell ref="A1134:A1135"/>
    <mergeCell ref="B1134:B1135"/>
    <mergeCell ref="D1134:D1135"/>
    <mergeCell ref="E1134:E1135"/>
    <mergeCell ref="F1134:F1135"/>
    <mergeCell ref="G1134:G1135"/>
    <mergeCell ref="I1136:I1137"/>
    <mergeCell ref="J1136:J1137"/>
    <mergeCell ref="A1132:A1133"/>
    <mergeCell ref="B1132:B1133"/>
    <mergeCell ref="D1132:D1133"/>
    <mergeCell ref="E1132:E1133"/>
    <mergeCell ref="F1132:F1133"/>
    <mergeCell ref="G1132:G1133"/>
    <mergeCell ref="H1132:H1133"/>
    <mergeCell ref="I1132:I1133"/>
    <mergeCell ref="J1132:J1133"/>
    <mergeCell ref="A1130:A1131"/>
    <mergeCell ref="B1130:B1131"/>
    <mergeCell ref="D1130:D1131"/>
    <mergeCell ref="E1130:E1131"/>
    <mergeCell ref="F1130:F1131"/>
    <mergeCell ref="G1130:G1131"/>
    <mergeCell ref="H1130:H1131"/>
    <mergeCell ref="I1130:I1131"/>
    <mergeCell ref="J1130:J1131"/>
    <mergeCell ref="H1126:H1127"/>
    <mergeCell ref="I1126:I1127"/>
    <mergeCell ref="J1126:J1127"/>
    <mergeCell ref="A1128:A1129"/>
    <mergeCell ref="B1128:B1129"/>
    <mergeCell ref="D1128:D1129"/>
    <mergeCell ref="E1128:E1129"/>
    <mergeCell ref="F1128:F1129"/>
    <mergeCell ref="G1128:G1129"/>
    <mergeCell ref="H1128:H1129"/>
    <mergeCell ref="A1126:A1127"/>
    <mergeCell ref="B1126:B1127"/>
    <mergeCell ref="D1126:D1127"/>
    <mergeCell ref="E1126:E1127"/>
    <mergeCell ref="F1126:F1127"/>
    <mergeCell ref="G1126:G1127"/>
    <mergeCell ref="I1128:I1129"/>
    <mergeCell ref="J1128:J1129"/>
    <mergeCell ref="A1124:A1125"/>
    <mergeCell ref="B1124:B1125"/>
    <mergeCell ref="D1124:D1125"/>
    <mergeCell ref="E1124:E1125"/>
    <mergeCell ref="F1124:F1125"/>
    <mergeCell ref="G1124:G1125"/>
    <mergeCell ref="H1124:H1125"/>
    <mergeCell ref="I1124:I1125"/>
    <mergeCell ref="J1124:J1125"/>
    <mergeCell ref="A1122:A1123"/>
    <mergeCell ref="B1122:B1123"/>
    <mergeCell ref="D1122:D1123"/>
    <mergeCell ref="E1122:E1123"/>
    <mergeCell ref="F1122:F1123"/>
    <mergeCell ref="G1122:G1123"/>
    <mergeCell ref="H1122:H1123"/>
    <mergeCell ref="I1122:I1123"/>
    <mergeCell ref="J1122:J1123"/>
    <mergeCell ref="H1118:H1119"/>
    <mergeCell ref="I1118:I1119"/>
    <mergeCell ref="J1118:J1119"/>
    <mergeCell ref="A1120:A1121"/>
    <mergeCell ref="B1120:B1121"/>
    <mergeCell ref="D1120:D1121"/>
    <mergeCell ref="E1120:E1121"/>
    <mergeCell ref="F1120:F1121"/>
    <mergeCell ref="G1120:G1121"/>
    <mergeCell ref="H1120:H1121"/>
    <mergeCell ref="A1118:A1119"/>
    <mergeCell ref="B1118:B1119"/>
    <mergeCell ref="D1118:D1119"/>
    <mergeCell ref="E1118:E1119"/>
    <mergeCell ref="F1118:F1119"/>
    <mergeCell ref="G1118:G1119"/>
    <mergeCell ref="I1120:I1121"/>
    <mergeCell ref="J1120:J1121"/>
    <mergeCell ref="A1116:A1117"/>
    <mergeCell ref="B1116:B1117"/>
    <mergeCell ref="D1116:D1117"/>
    <mergeCell ref="E1116:E1117"/>
    <mergeCell ref="F1116:F1117"/>
    <mergeCell ref="G1116:G1117"/>
    <mergeCell ref="H1116:H1117"/>
    <mergeCell ref="I1116:I1117"/>
    <mergeCell ref="J1116:J1117"/>
    <mergeCell ref="A1114:A1115"/>
    <mergeCell ref="B1114:B1115"/>
    <mergeCell ref="D1114:D1115"/>
    <mergeCell ref="E1114:E1115"/>
    <mergeCell ref="F1114:F1115"/>
    <mergeCell ref="G1114:G1115"/>
    <mergeCell ref="H1114:H1115"/>
    <mergeCell ref="I1114:I1115"/>
    <mergeCell ref="J1114:J1115"/>
    <mergeCell ref="H1110:H1111"/>
    <mergeCell ref="I1110:I1111"/>
    <mergeCell ref="J1110:J1111"/>
    <mergeCell ref="A1112:A1113"/>
    <mergeCell ref="B1112:B1113"/>
    <mergeCell ref="D1112:D1113"/>
    <mergeCell ref="E1112:E1113"/>
    <mergeCell ref="F1112:F1113"/>
    <mergeCell ref="G1112:G1113"/>
    <mergeCell ref="H1112:H1113"/>
    <mergeCell ref="A1110:A1111"/>
    <mergeCell ref="B1110:B1111"/>
    <mergeCell ref="D1110:D1111"/>
    <mergeCell ref="E1110:E1111"/>
    <mergeCell ref="F1110:F1111"/>
    <mergeCell ref="G1110:G1111"/>
    <mergeCell ref="I1112:I1113"/>
    <mergeCell ref="J1112:J1113"/>
    <mergeCell ref="A1108:A1109"/>
    <mergeCell ref="B1108:B1109"/>
    <mergeCell ref="D1108:D1109"/>
    <mergeCell ref="E1108:E1109"/>
    <mergeCell ref="F1108:F1109"/>
    <mergeCell ref="G1108:G1109"/>
    <mergeCell ref="H1108:H1109"/>
    <mergeCell ref="I1108:I1109"/>
    <mergeCell ref="J1108:J1109"/>
    <mergeCell ref="A1106:A1107"/>
    <mergeCell ref="B1106:B1107"/>
    <mergeCell ref="D1106:D1107"/>
    <mergeCell ref="E1106:E1107"/>
    <mergeCell ref="F1106:F1107"/>
    <mergeCell ref="G1106:G1107"/>
    <mergeCell ref="H1106:H1107"/>
    <mergeCell ref="I1106:I1107"/>
    <mergeCell ref="J1106:J1107"/>
    <mergeCell ref="H1102:H1103"/>
    <mergeCell ref="I1102:I1103"/>
    <mergeCell ref="J1102:J1103"/>
    <mergeCell ref="A1104:A1105"/>
    <mergeCell ref="B1104:B1105"/>
    <mergeCell ref="D1104:D1105"/>
    <mergeCell ref="E1104:E1105"/>
    <mergeCell ref="F1104:F1105"/>
    <mergeCell ref="G1104:G1105"/>
    <mergeCell ref="H1104:H1105"/>
    <mergeCell ref="A1102:A1103"/>
    <mergeCell ref="B1102:B1103"/>
    <mergeCell ref="D1102:D1103"/>
    <mergeCell ref="E1102:E1103"/>
    <mergeCell ref="F1102:F1103"/>
    <mergeCell ref="G1102:G1103"/>
    <mergeCell ref="I1104:I1105"/>
    <mergeCell ref="J1104:J1105"/>
    <mergeCell ref="A1100:A1101"/>
    <mergeCell ref="B1100:B1101"/>
    <mergeCell ref="D1100:D1101"/>
    <mergeCell ref="E1100:E1101"/>
    <mergeCell ref="F1100:F1101"/>
    <mergeCell ref="G1100:G1101"/>
    <mergeCell ref="H1100:H1101"/>
    <mergeCell ref="I1100:I1101"/>
    <mergeCell ref="J1100:J1101"/>
    <mergeCell ref="A1098:A1099"/>
    <mergeCell ref="B1098:B1099"/>
    <mergeCell ref="D1098:D1099"/>
    <mergeCell ref="E1098:E1099"/>
    <mergeCell ref="F1098:F1099"/>
    <mergeCell ref="G1098:G1099"/>
    <mergeCell ref="H1098:H1099"/>
    <mergeCell ref="I1098:I1099"/>
    <mergeCell ref="J1098:J1099"/>
    <mergeCell ref="H1094:H1095"/>
    <mergeCell ref="I1094:I1095"/>
    <mergeCell ref="J1094:J1095"/>
    <mergeCell ref="A1096:A1097"/>
    <mergeCell ref="B1096:B1097"/>
    <mergeCell ref="D1096:D1097"/>
    <mergeCell ref="E1096:E1097"/>
    <mergeCell ref="F1096:F1097"/>
    <mergeCell ref="G1096:G1097"/>
    <mergeCell ref="H1096:H1097"/>
    <mergeCell ref="A1094:A1095"/>
    <mergeCell ref="B1094:B1095"/>
    <mergeCell ref="D1094:D1095"/>
    <mergeCell ref="E1094:E1095"/>
    <mergeCell ref="F1094:F1095"/>
    <mergeCell ref="G1094:G1095"/>
    <mergeCell ref="I1096:I1097"/>
    <mergeCell ref="J1096:J1097"/>
    <mergeCell ref="A1092:A1093"/>
    <mergeCell ref="B1092:B1093"/>
    <mergeCell ref="D1092:D1093"/>
    <mergeCell ref="E1092:E1093"/>
    <mergeCell ref="F1092:F1093"/>
    <mergeCell ref="G1092:G1093"/>
    <mergeCell ref="H1092:H1093"/>
    <mergeCell ref="I1092:I1093"/>
    <mergeCell ref="J1092:J1093"/>
    <mergeCell ref="A1090:A1091"/>
    <mergeCell ref="B1090:B1091"/>
    <mergeCell ref="D1090:D1091"/>
    <mergeCell ref="E1090:E1091"/>
    <mergeCell ref="F1090:F1091"/>
    <mergeCell ref="G1090:G1091"/>
    <mergeCell ref="H1090:H1091"/>
    <mergeCell ref="I1090:I1091"/>
    <mergeCell ref="J1090:J1091"/>
    <mergeCell ref="H1086:H1087"/>
    <mergeCell ref="I1086:I1087"/>
    <mergeCell ref="J1086:J1087"/>
    <mergeCell ref="A1088:A1089"/>
    <mergeCell ref="B1088:B1089"/>
    <mergeCell ref="D1088:D1089"/>
    <mergeCell ref="E1088:E1089"/>
    <mergeCell ref="F1088:F1089"/>
    <mergeCell ref="G1088:G1089"/>
    <mergeCell ref="H1088:H1089"/>
    <mergeCell ref="A1086:A1087"/>
    <mergeCell ref="B1086:B1087"/>
    <mergeCell ref="D1086:D1087"/>
    <mergeCell ref="E1086:E1087"/>
    <mergeCell ref="F1086:F1087"/>
    <mergeCell ref="G1086:G1087"/>
    <mergeCell ref="I1088:I1089"/>
    <mergeCell ref="J1088:J1089"/>
    <mergeCell ref="A1084:A1085"/>
    <mergeCell ref="B1084:B1085"/>
    <mergeCell ref="D1084:D1085"/>
    <mergeCell ref="E1084:E1085"/>
    <mergeCell ref="F1084:F1085"/>
    <mergeCell ref="G1084:G1085"/>
    <mergeCell ref="H1084:H1085"/>
    <mergeCell ref="I1084:I1085"/>
    <mergeCell ref="J1084:J1085"/>
    <mergeCell ref="A1082:A1083"/>
    <mergeCell ref="B1082:B1083"/>
    <mergeCell ref="D1082:D1083"/>
    <mergeCell ref="E1082:E1083"/>
    <mergeCell ref="F1082:F1083"/>
    <mergeCell ref="G1082:G1083"/>
    <mergeCell ref="H1082:H1083"/>
    <mergeCell ref="I1082:I1083"/>
    <mergeCell ref="J1082:J1083"/>
    <mergeCell ref="H1078:H1079"/>
    <mergeCell ref="I1078:I1079"/>
    <mergeCell ref="J1078:J1079"/>
    <mergeCell ref="A1080:A1081"/>
    <mergeCell ref="B1080:B1081"/>
    <mergeCell ref="D1080:D1081"/>
    <mergeCell ref="E1080:E1081"/>
    <mergeCell ref="F1080:F1081"/>
    <mergeCell ref="G1080:G1081"/>
    <mergeCell ref="H1080:H1081"/>
    <mergeCell ref="A1078:A1079"/>
    <mergeCell ref="B1078:B1079"/>
    <mergeCell ref="D1078:D1079"/>
    <mergeCell ref="E1078:E1079"/>
    <mergeCell ref="F1078:F1079"/>
    <mergeCell ref="G1078:G1079"/>
    <mergeCell ref="I1080:I1081"/>
    <mergeCell ref="J1080:J1081"/>
    <mergeCell ref="A1076:A1077"/>
    <mergeCell ref="B1076:B1077"/>
    <mergeCell ref="D1076:D1077"/>
    <mergeCell ref="E1076:E1077"/>
    <mergeCell ref="F1076:F1077"/>
    <mergeCell ref="G1076:G1077"/>
    <mergeCell ref="H1076:H1077"/>
    <mergeCell ref="I1076:I1077"/>
    <mergeCell ref="J1076:J1077"/>
    <mergeCell ref="A1074:A1075"/>
    <mergeCell ref="B1074:B1075"/>
    <mergeCell ref="D1074:D1075"/>
    <mergeCell ref="E1074:E1075"/>
    <mergeCell ref="F1074:F1075"/>
    <mergeCell ref="G1074:G1075"/>
    <mergeCell ref="H1074:H1075"/>
    <mergeCell ref="I1074:I1075"/>
    <mergeCell ref="J1074:J1075"/>
    <mergeCell ref="H1070:H1071"/>
    <mergeCell ref="I1070:I1071"/>
    <mergeCell ref="J1070:J1071"/>
    <mergeCell ref="A1072:A1073"/>
    <mergeCell ref="B1072:B1073"/>
    <mergeCell ref="D1072:D1073"/>
    <mergeCell ref="E1072:E1073"/>
    <mergeCell ref="F1072:F1073"/>
    <mergeCell ref="G1072:G1073"/>
    <mergeCell ref="H1072:H1073"/>
    <mergeCell ref="A1070:A1071"/>
    <mergeCell ref="B1070:B1071"/>
    <mergeCell ref="D1070:D1071"/>
    <mergeCell ref="E1070:E1071"/>
    <mergeCell ref="F1070:F1071"/>
    <mergeCell ref="G1070:G1071"/>
    <mergeCell ref="I1072:I1073"/>
    <mergeCell ref="J1072:J1073"/>
    <mergeCell ref="A1068:A1069"/>
    <mergeCell ref="B1068:B1069"/>
    <mergeCell ref="D1068:D1069"/>
    <mergeCell ref="E1068:E1069"/>
    <mergeCell ref="F1068:F1069"/>
    <mergeCell ref="G1068:G1069"/>
    <mergeCell ref="H1068:H1069"/>
    <mergeCell ref="I1068:I1069"/>
    <mergeCell ref="J1068:J1069"/>
    <mergeCell ref="A1066:A1067"/>
    <mergeCell ref="B1066:B1067"/>
    <mergeCell ref="D1066:D1067"/>
    <mergeCell ref="E1066:E1067"/>
    <mergeCell ref="F1066:F1067"/>
    <mergeCell ref="G1066:G1067"/>
    <mergeCell ref="H1066:H1067"/>
    <mergeCell ref="I1066:I1067"/>
    <mergeCell ref="J1066:J1067"/>
    <mergeCell ref="H1062:H1063"/>
    <mergeCell ref="I1062:I1063"/>
    <mergeCell ref="J1062:J1063"/>
    <mergeCell ref="A1064:A1065"/>
    <mergeCell ref="B1064:B1065"/>
    <mergeCell ref="D1064:D1065"/>
    <mergeCell ref="E1064:E1065"/>
    <mergeCell ref="F1064:F1065"/>
    <mergeCell ref="G1064:G1065"/>
    <mergeCell ref="H1064:H1065"/>
    <mergeCell ref="A1062:A1063"/>
    <mergeCell ref="B1062:B1063"/>
    <mergeCell ref="D1062:D1063"/>
    <mergeCell ref="E1062:E1063"/>
    <mergeCell ref="F1062:F1063"/>
    <mergeCell ref="G1062:G1063"/>
    <mergeCell ref="I1064:I1065"/>
    <mergeCell ref="J1064:J1065"/>
    <mergeCell ref="A1060:A1061"/>
    <mergeCell ref="B1060:B1061"/>
    <mergeCell ref="D1060:D1061"/>
    <mergeCell ref="E1060:E1061"/>
    <mergeCell ref="F1060:F1061"/>
    <mergeCell ref="G1060:G1061"/>
    <mergeCell ref="H1060:H1061"/>
    <mergeCell ref="I1060:I1061"/>
    <mergeCell ref="J1060:J1061"/>
    <mergeCell ref="A1058:A1059"/>
    <mergeCell ref="B1058:B1059"/>
    <mergeCell ref="D1058:D1059"/>
    <mergeCell ref="E1058:E1059"/>
    <mergeCell ref="F1058:F1059"/>
    <mergeCell ref="G1058:G1059"/>
    <mergeCell ref="H1058:H1059"/>
    <mergeCell ref="I1058:I1059"/>
    <mergeCell ref="J1058:J1059"/>
    <mergeCell ref="H1054:H1055"/>
    <mergeCell ref="I1054:I1055"/>
    <mergeCell ref="J1054:J1055"/>
    <mergeCell ref="A1056:A1057"/>
    <mergeCell ref="B1056:B1057"/>
    <mergeCell ref="D1056:D1057"/>
    <mergeCell ref="E1056:E1057"/>
    <mergeCell ref="F1056:F1057"/>
    <mergeCell ref="G1056:G1057"/>
    <mergeCell ref="H1056:H1057"/>
    <mergeCell ref="A1054:A1055"/>
    <mergeCell ref="B1054:B1055"/>
    <mergeCell ref="D1054:D1055"/>
    <mergeCell ref="E1054:E1055"/>
    <mergeCell ref="F1054:F1055"/>
    <mergeCell ref="G1054:G1055"/>
    <mergeCell ref="I1056:I1057"/>
    <mergeCell ref="J1056:J1057"/>
    <mergeCell ref="A1052:A1053"/>
    <mergeCell ref="B1052:B1053"/>
    <mergeCell ref="D1052:D1053"/>
    <mergeCell ref="E1052:E1053"/>
    <mergeCell ref="F1052:F1053"/>
    <mergeCell ref="G1052:G1053"/>
    <mergeCell ref="H1052:H1053"/>
    <mergeCell ref="I1052:I1053"/>
    <mergeCell ref="J1052:J1053"/>
    <mergeCell ref="A1050:A1051"/>
    <mergeCell ref="B1050:B1051"/>
    <mergeCell ref="D1050:D1051"/>
    <mergeCell ref="E1050:E1051"/>
    <mergeCell ref="F1050:F1051"/>
    <mergeCell ref="G1050:G1051"/>
    <mergeCell ref="H1050:H1051"/>
    <mergeCell ref="I1050:I1051"/>
    <mergeCell ref="J1050:J1051"/>
    <mergeCell ref="H1046:H1047"/>
    <mergeCell ref="I1046:I1047"/>
    <mergeCell ref="J1046:J1047"/>
    <mergeCell ref="A1048:A1049"/>
    <mergeCell ref="B1048:B1049"/>
    <mergeCell ref="D1048:D1049"/>
    <mergeCell ref="E1048:E1049"/>
    <mergeCell ref="F1048:F1049"/>
    <mergeCell ref="G1048:G1049"/>
    <mergeCell ref="H1048:H1049"/>
    <mergeCell ref="A1046:A1047"/>
    <mergeCell ref="B1046:B1047"/>
    <mergeCell ref="D1046:D1047"/>
    <mergeCell ref="E1046:E1047"/>
    <mergeCell ref="F1046:F1047"/>
    <mergeCell ref="G1046:G1047"/>
    <mergeCell ref="I1048:I1049"/>
    <mergeCell ref="J1048:J1049"/>
    <mergeCell ref="A1044:A1045"/>
    <mergeCell ref="B1044:B1045"/>
    <mergeCell ref="D1044:D1045"/>
    <mergeCell ref="E1044:E1045"/>
    <mergeCell ref="F1044:F1045"/>
    <mergeCell ref="G1044:G1045"/>
    <mergeCell ref="H1044:H1045"/>
    <mergeCell ref="I1044:I1045"/>
    <mergeCell ref="J1044:J1045"/>
    <mergeCell ref="A1042:A1043"/>
    <mergeCell ref="B1042:B1043"/>
    <mergeCell ref="D1042:D1043"/>
    <mergeCell ref="E1042:E1043"/>
    <mergeCell ref="F1042:F1043"/>
    <mergeCell ref="G1042:G1043"/>
    <mergeCell ref="H1042:H1043"/>
    <mergeCell ref="I1042:I1043"/>
    <mergeCell ref="J1042:J1043"/>
    <mergeCell ref="H1038:H1039"/>
    <mergeCell ref="I1038:I1039"/>
    <mergeCell ref="J1038:J1039"/>
    <mergeCell ref="A1040:A1041"/>
    <mergeCell ref="B1040:B1041"/>
    <mergeCell ref="D1040:D1041"/>
    <mergeCell ref="E1040:E1041"/>
    <mergeCell ref="F1040:F1041"/>
    <mergeCell ref="G1040:G1041"/>
    <mergeCell ref="H1040:H1041"/>
    <mergeCell ref="A1038:A1039"/>
    <mergeCell ref="B1038:B1039"/>
    <mergeCell ref="D1038:D1039"/>
    <mergeCell ref="E1038:E1039"/>
    <mergeCell ref="F1038:F1039"/>
    <mergeCell ref="G1038:G1039"/>
    <mergeCell ref="I1040:I1041"/>
    <mergeCell ref="J1040:J1041"/>
    <mergeCell ref="A1036:A1037"/>
    <mergeCell ref="B1036:B1037"/>
    <mergeCell ref="D1036:D1037"/>
    <mergeCell ref="E1036:E1037"/>
    <mergeCell ref="F1036:F1037"/>
    <mergeCell ref="G1036:G1037"/>
    <mergeCell ref="H1036:H1037"/>
    <mergeCell ref="I1036:I1037"/>
    <mergeCell ref="J1036:J1037"/>
    <mergeCell ref="A1034:A1035"/>
    <mergeCell ref="B1034:B1035"/>
    <mergeCell ref="D1034:D1035"/>
    <mergeCell ref="E1034:E1035"/>
    <mergeCell ref="F1034:F1035"/>
    <mergeCell ref="G1034:G1035"/>
    <mergeCell ref="H1034:H1035"/>
    <mergeCell ref="I1034:I1035"/>
    <mergeCell ref="J1034:J1035"/>
    <mergeCell ref="H1030:H1031"/>
    <mergeCell ref="I1030:I1031"/>
    <mergeCell ref="J1030:J1031"/>
    <mergeCell ref="A1032:A1033"/>
    <mergeCell ref="B1032:B1033"/>
    <mergeCell ref="D1032:D1033"/>
    <mergeCell ref="E1032:E1033"/>
    <mergeCell ref="F1032:F1033"/>
    <mergeCell ref="G1032:G1033"/>
    <mergeCell ref="H1032:H1033"/>
    <mergeCell ref="A1030:A1031"/>
    <mergeCell ref="B1030:B1031"/>
    <mergeCell ref="D1030:D1031"/>
    <mergeCell ref="E1030:E1031"/>
    <mergeCell ref="F1030:F1031"/>
    <mergeCell ref="G1030:G1031"/>
    <mergeCell ref="I1032:I1033"/>
    <mergeCell ref="J1032:J1033"/>
    <mergeCell ref="A1028:A1029"/>
    <mergeCell ref="B1028:B1029"/>
    <mergeCell ref="D1028:D1029"/>
    <mergeCell ref="E1028:E1029"/>
    <mergeCell ref="F1028:F1029"/>
    <mergeCell ref="G1028:G1029"/>
    <mergeCell ref="H1028:H1029"/>
    <mergeCell ref="I1028:I1029"/>
    <mergeCell ref="J1028:J1029"/>
    <mergeCell ref="A1026:A1027"/>
    <mergeCell ref="B1026:B1027"/>
    <mergeCell ref="D1026:D1027"/>
    <mergeCell ref="E1026:E1027"/>
    <mergeCell ref="F1026:F1027"/>
    <mergeCell ref="G1026:G1027"/>
    <mergeCell ref="H1026:H1027"/>
    <mergeCell ref="I1026:I1027"/>
    <mergeCell ref="J1026:J1027"/>
    <mergeCell ref="H1022:H1023"/>
    <mergeCell ref="I1022:I1023"/>
    <mergeCell ref="J1022:J1023"/>
    <mergeCell ref="A1024:A1025"/>
    <mergeCell ref="B1024:B1025"/>
    <mergeCell ref="D1024:D1025"/>
    <mergeCell ref="E1024:E1025"/>
    <mergeCell ref="F1024:F1025"/>
    <mergeCell ref="G1024:G1025"/>
    <mergeCell ref="H1024:H1025"/>
    <mergeCell ref="A1022:A1023"/>
    <mergeCell ref="B1022:B1023"/>
    <mergeCell ref="D1022:D1023"/>
    <mergeCell ref="E1022:E1023"/>
    <mergeCell ref="F1022:F1023"/>
    <mergeCell ref="G1022:G1023"/>
    <mergeCell ref="I1024:I1025"/>
    <mergeCell ref="J1024:J1025"/>
    <mergeCell ref="A1020:A1021"/>
    <mergeCell ref="B1020:B1021"/>
    <mergeCell ref="D1020:D1021"/>
    <mergeCell ref="E1020:E1021"/>
    <mergeCell ref="F1020:F1021"/>
    <mergeCell ref="G1020:G1021"/>
    <mergeCell ref="H1020:H1021"/>
    <mergeCell ref="I1020:I1021"/>
    <mergeCell ref="J1020:J1021"/>
    <mergeCell ref="A1018:A1019"/>
    <mergeCell ref="B1018:B1019"/>
    <mergeCell ref="D1018:D1019"/>
    <mergeCell ref="E1018:E1019"/>
    <mergeCell ref="F1018:F1019"/>
    <mergeCell ref="G1018:G1019"/>
    <mergeCell ref="H1018:H1019"/>
    <mergeCell ref="I1018:I1019"/>
    <mergeCell ref="J1018:J1019"/>
    <mergeCell ref="H1014:H1015"/>
    <mergeCell ref="I1014:I1015"/>
    <mergeCell ref="J1014:J1015"/>
    <mergeCell ref="A1016:A1017"/>
    <mergeCell ref="B1016:B1017"/>
    <mergeCell ref="D1016:D1017"/>
    <mergeCell ref="E1016:E1017"/>
    <mergeCell ref="F1016:F1017"/>
    <mergeCell ref="G1016:G1017"/>
    <mergeCell ref="H1016:H1017"/>
    <mergeCell ref="A1014:A1015"/>
    <mergeCell ref="B1014:B1015"/>
    <mergeCell ref="D1014:D1015"/>
    <mergeCell ref="E1014:E1015"/>
    <mergeCell ref="F1014:F1015"/>
    <mergeCell ref="G1014:G1015"/>
    <mergeCell ref="I1016:I1017"/>
    <mergeCell ref="J1016:J1017"/>
    <mergeCell ref="A1012:A1013"/>
    <mergeCell ref="B1012:B1013"/>
    <mergeCell ref="D1012:D1013"/>
    <mergeCell ref="E1012:E1013"/>
    <mergeCell ref="F1012:F1013"/>
    <mergeCell ref="G1012:G1013"/>
    <mergeCell ref="H1012:H1013"/>
    <mergeCell ref="I1012:I1013"/>
    <mergeCell ref="J1012:J1013"/>
    <mergeCell ref="A1010:A1011"/>
    <mergeCell ref="B1010:B1011"/>
    <mergeCell ref="D1010:D1011"/>
    <mergeCell ref="E1010:E1011"/>
    <mergeCell ref="F1010:F1011"/>
    <mergeCell ref="G1010:G1011"/>
    <mergeCell ref="H1010:H1011"/>
    <mergeCell ref="I1010:I1011"/>
    <mergeCell ref="J1010:J1011"/>
    <mergeCell ref="H1006:H1007"/>
    <mergeCell ref="I1006:I1007"/>
    <mergeCell ref="J1006:J1007"/>
    <mergeCell ref="A1008:A1009"/>
    <mergeCell ref="B1008:B1009"/>
    <mergeCell ref="D1008:D1009"/>
    <mergeCell ref="E1008:E1009"/>
    <mergeCell ref="F1008:F1009"/>
    <mergeCell ref="G1008:G1009"/>
    <mergeCell ref="H1008:H1009"/>
    <mergeCell ref="A1006:A1007"/>
    <mergeCell ref="B1006:B1007"/>
    <mergeCell ref="D1006:D1007"/>
    <mergeCell ref="E1006:E1007"/>
    <mergeCell ref="F1006:F1007"/>
    <mergeCell ref="G1006:G1007"/>
    <mergeCell ref="I1008:I1009"/>
    <mergeCell ref="J1008:J1009"/>
    <mergeCell ref="A1004:A1005"/>
    <mergeCell ref="B1004:B1005"/>
    <mergeCell ref="D1004:D1005"/>
    <mergeCell ref="E1004:E1005"/>
    <mergeCell ref="F1004:F1005"/>
    <mergeCell ref="G1004:G1005"/>
    <mergeCell ref="H1004:H1005"/>
    <mergeCell ref="I1004:I1005"/>
    <mergeCell ref="J1004:J1005"/>
    <mergeCell ref="A1002:A1003"/>
    <mergeCell ref="B1002:B1003"/>
    <mergeCell ref="D1002:D1003"/>
    <mergeCell ref="E1002:E1003"/>
    <mergeCell ref="F1002:F1003"/>
    <mergeCell ref="G1002:G1003"/>
    <mergeCell ref="H1002:H1003"/>
    <mergeCell ref="I1002:I1003"/>
    <mergeCell ref="J1002:J1003"/>
    <mergeCell ref="H998:H999"/>
    <mergeCell ref="I998:I999"/>
    <mergeCell ref="J998:J999"/>
    <mergeCell ref="A1000:A1001"/>
    <mergeCell ref="B1000:B1001"/>
    <mergeCell ref="D1000:D1001"/>
    <mergeCell ref="E1000:E1001"/>
    <mergeCell ref="F1000:F1001"/>
    <mergeCell ref="G1000:G1001"/>
    <mergeCell ref="H1000:H1001"/>
    <mergeCell ref="A998:A999"/>
    <mergeCell ref="B998:B999"/>
    <mergeCell ref="D998:D999"/>
    <mergeCell ref="E998:E999"/>
    <mergeCell ref="F998:F999"/>
    <mergeCell ref="G998:G999"/>
    <mergeCell ref="I1000:I1001"/>
    <mergeCell ref="J1000:J1001"/>
    <mergeCell ref="A996:A997"/>
    <mergeCell ref="B996:B997"/>
    <mergeCell ref="D996:D997"/>
    <mergeCell ref="E996:E997"/>
    <mergeCell ref="F996:F997"/>
    <mergeCell ref="G996:G997"/>
    <mergeCell ref="H996:H997"/>
    <mergeCell ref="I996:I997"/>
    <mergeCell ref="J996:J997"/>
    <mergeCell ref="A994:A995"/>
    <mergeCell ref="B994:B995"/>
    <mergeCell ref="D994:D995"/>
    <mergeCell ref="E994:E995"/>
    <mergeCell ref="F994:F995"/>
    <mergeCell ref="G994:G995"/>
    <mergeCell ref="H994:H995"/>
    <mergeCell ref="I994:I995"/>
    <mergeCell ref="J994:J995"/>
    <mergeCell ref="H990:H991"/>
    <mergeCell ref="I990:I991"/>
    <mergeCell ref="J990:J991"/>
    <mergeCell ref="A992:A993"/>
    <mergeCell ref="B992:B993"/>
    <mergeCell ref="D992:D993"/>
    <mergeCell ref="E992:E993"/>
    <mergeCell ref="F992:F993"/>
    <mergeCell ref="G992:G993"/>
    <mergeCell ref="H992:H993"/>
    <mergeCell ref="A990:A991"/>
    <mergeCell ref="B990:B991"/>
    <mergeCell ref="D990:D991"/>
    <mergeCell ref="E990:E991"/>
    <mergeCell ref="F990:F991"/>
    <mergeCell ref="G990:G991"/>
    <mergeCell ref="I992:I993"/>
    <mergeCell ref="J992:J993"/>
    <mergeCell ref="A988:A989"/>
    <mergeCell ref="B988:B989"/>
    <mergeCell ref="D988:D989"/>
    <mergeCell ref="E988:E989"/>
    <mergeCell ref="F988:F989"/>
    <mergeCell ref="G988:G989"/>
    <mergeCell ref="H988:H989"/>
    <mergeCell ref="I988:I989"/>
    <mergeCell ref="J988:J989"/>
    <mergeCell ref="A986:A987"/>
    <mergeCell ref="B986:B987"/>
    <mergeCell ref="D986:D987"/>
    <mergeCell ref="E986:E987"/>
    <mergeCell ref="F986:F987"/>
    <mergeCell ref="G986:G987"/>
    <mergeCell ref="H986:H987"/>
    <mergeCell ref="I986:I987"/>
    <mergeCell ref="J986:J987"/>
    <mergeCell ref="H982:H983"/>
    <mergeCell ref="I982:I983"/>
    <mergeCell ref="J982:J983"/>
    <mergeCell ref="A984:A985"/>
    <mergeCell ref="B984:B985"/>
    <mergeCell ref="D984:D985"/>
    <mergeCell ref="E984:E985"/>
    <mergeCell ref="F984:F985"/>
    <mergeCell ref="G984:G985"/>
    <mergeCell ref="H984:H985"/>
    <mergeCell ref="A982:A983"/>
    <mergeCell ref="B982:B983"/>
    <mergeCell ref="D982:D983"/>
    <mergeCell ref="E982:E983"/>
    <mergeCell ref="F982:F983"/>
    <mergeCell ref="G982:G983"/>
    <mergeCell ref="I984:I985"/>
    <mergeCell ref="J984:J985"/>
    <mergeCell ref="A980:A981"/>
    <mergeCell ref="B980:B981"/>
    <mergeCell ref="D980:D981"/>
    <mergeCell ref="E980:E981"/>
    <mergeCell ref="F980:F981"/>
    <mergeCell ref="G980:G981"/>
    <mergeCell ref="H980:H981"/>
    <mergeCell ref="I980:I981"/>
    <mergeCell ref="J980:J981"/>
    <mergeCell ref="A978:A979"/>
    <mergeCell ref="B978:B979"/>
    <mergeCell ref="D978:D979"/>
    <mergeCell ref="E978:E979"/>
    <mergeCell ref="F978:F979"/>
    <mergeCell ref="G978:G979"/>
    <mergeCell ref="H978:H979"/>
    <mergeCell ref="I978:I979"/>
    <mergeCell ref="J978:J979"/>
    <mergeCell ref="H974:H975"/>
    <mergeCell ref="I974:I975"/>
    <mergeCell ref="J974:J975"/>
    <mergeCell ref="A976:A977"/>
    <mergeCell ref="B976:B977"/>
    <mergeCell ref="D976:D977"/>
    <mergeCell ref="E976:E977"/>
    <mergeCell ref="F976:F977"/>
    <mergeCell ref="G976:G977"/>
    <mergeCell ref="H976:H977"/>
    <mergeCell ref="A974:A975"/>
    <mergeCell ref="B974:B975"/>
    <mergeCell ref="D974:D975"/>
    <mergeCell ref="E974:E975"/>
    <mergeCell ref="F974:F975"/>
    <mergeCell ref="G974:G975"/>
    <mergeCell ref="I976:I977"/>
    <mergeCell ref="J976:J977"/>
    <mergeCell ref="A972:A973"/>
    <mergeCell ref="B972:B973"/>
    <mergeCell ref="D972:D973"/>
    <mergeCell ref="E972:E973"/>
    <mergeCell ref="F972:F973"/>
    <mergeCell ref="G972:G973"/>
    <mergeCell ref="H972:H973"/>
    <mergeCell ref="I972:I973"/>
    <mergeCell ref="J972:J973"/>
    <mergeCell ref="A970:A971"/>
    <mergeCell ref="B970:B971"/>
    <mergeCell ref="D970:D971"/>
    <mergeCell ref="E970:E971"/>
    <mergeCell ref="F970:F971"/>
    <mergeCell ref="G970:G971"/>
    <mergeCell ref="H970:H971"/>
    <mergeCell ref="I970:I971"/>
    <mergeCell ref="J970:J971"/>
    <mergeCell ref="H966:H967"/>
    <mergeCell ref="I966:I967"/>
    <mergeCell ref="J966:J967"/>
    <mergeCell ref="A968:A969"/>
    <mergeCell ref="B968:B969"/>
    <mergeCell ref="D968:D969"/>
    <mergeCell ref="E968:E969"/>
    <mergeCell ref="F968:F969"/>
    <mergeCell ref="G968:G969"/>
    <mergeCell ref="H968:H969"/>
    <mergeCell ref="A966:A967"/>
    <mergeCell ref="B966:B967"/>
    <mergeCell ref="D966:D967"/>
    <mergeCell ref="E966:E967"/>
    <mergeCell ref="F966:F967"/>
    <mergeCell ref="G966:G967"/>
    <mergeCell ref="I968:I969"/>
    <mergeCell ref="J968:J969"/>
    <mergeCell ref="A964:A965"/>
    <mergeCell ref="B964:B965"/>
    <mergeCell ref="D964:D965"/>
    <mergeCell ref="E964:E965"/>
    <mergeCell ref="F964:F965"/>
    <mergeCell ref="G964:G965"/>
    <mergeCell ref="H964:H965"/>
    <mergeCell ref="I964:I965"/>
    <mergeCell ref="J964:J965"/>
    <mergeCell ref="A962:A963"/>
    <mergeCell ref="B962:B963"/>
    <mergeCell ref="D962:D963"/>
    <mergeCell ref="E962:E963"/>
    <mergeCell ref="F962:F963"/>
    <mergeCell ref="G962:G963"/>
    <mergeCell ref="H962:H963"/>
    <mergeCell ref="I962:I963"/>
    <mergeCell ref="J962:J963"/>
    <mergeCell ref="H958:H959"/>
    <mergeCell ref="I958:I959"/>
    <mergeCell ref="J958:J959"/>
    <mergeCell ref="A960:A961"/>
    <mergeCell ref="B960:B961"/>
    <mergeCell ref="D960:D961"/>
    <mergeCell ref="E960:E961"/>
    <mergeCell ref="F960:F961"/>
    <mergeCell ref="G960:G961"/>
    <mergeCell ref="H960:H961"/>
    <mergeCell ref="A958:A959"/>
    <mergeCell ref="B958:B959"/>
    <mergeCell ref="D958:D959"/>
    <mergeCell ref="E958:E959"/>
    <mergeCell ref="F958:F959"/>
    <mergeCell ref="G958:G959"/>
    <mergeCell ref="I960:I961"/>
    <mergeCell ref="J960:J961"/>
  </mergeCells>
  <hyperlinks>
    <hyperlink ref="A5" r:id="rId1" display="https://support.coingecko.com/help" xr:uid="{67D852DB-A353-B742-80D8-FB6FF2E7919F}"/>
    <hyperlink ref="A6" r:id="rId2" display="/account/candy?locale=en" xr:uid="{425904FD-E82C-7840-9ACD-FFA5604C1DDD}"/>
    <hyperlink ref="A9" r:id="rId3" display="file:///en/premium" xr:uid="{148EC69E-D40F-AC4B-A45E-D2B1279BA232}"/>
    <hyperlink ref="A10" r:id="rId4" display="file:///en" xr:uid="{E683D34F-0ABA-1B4C-B6E6-FF2CE32FA6EC}"/>
    <hyperlink ref="A11" r:id="rId5" display="file:///en" xr:uid="{0E7F9C2A-E7E3-5C4C-BFF5-DAC2EC6B03D6}"/>
    <hyperlink ref="A12" r:id="rId6" display="file:///en/premium" xr:uid="{ABA97A99-A9E9-EC49-AEA7-86F6E157D37E}"/>
    <hyperlink ref="A13" location="collapseCoins" display="collapseCoins" xr:uid="{2F8E307E-A542-5047-B617-5B8CD237E24E}"/>
    <hyperlink ref="A19" location="collapseExchanges" display="collapseExchanges" xr:uid="{762CA315-4D55-4F47-A667-373863253698}"/>
    <hyperlink ref="A21" r:id="rId7" display="file:///en/exchanges/derivatives" xr:uid="{EBD03D48-6980-424E-8056-929F2389D381}"/>
    <hyperlink ref="A22" r:id="rId8" display="file:///en/categories/decentralized-finance-defi" xr:uid="{DFBAB2E5-516B-0242-BF53-7BD2325E3DED}"/>
    <hyperlink ref="A23" location="collapseNft" display="collapseNft" xr:uid="{6E6C4240-BE5D-1742-9F1B-BBED472C5C87}"/>
    <hyperlink ref="A25" r:id="rId9" display="file:///en/portfolio" xr:uid="{E085E83E-4E39-8F47-BE2A-86B2035C85EA}"/>
    <hyperlink ref="A26" location="collapsePublications" display="collapsePublications" xr:uid="{09508E06-02BB-2345-9C67-294F3F3685F2}"/>
    <hyperlink ref="A33" location="collapseResources" display="collapseResources" xr:uid="{6F1A4D65-103D-5D42-8289-CD21B313255C}"/>
    <hyperlink ref="A36" r:id="rId10" display="file:///en/explain/bitcoin_halving" xr:uid="{252656AA-25BE-8046-9C10-F4316FB78A4A}"/>
    <hyperlink ref="A41" location="collapseProducts" display="collapseProducts" xr:uid="{B1DD581D-463B-A149-8DE8-39F748277B4B}"/>
    <hyperlink ref="A43" r:id="rId11" display="https://store.coingecko.com/" xr:uid="{9BD85966-1742-1842-9461-D57E3BA0E480}"/>
    <hyperlink ref="A47" location="collapseAboutUs" display="collapseAboutUs" xr:uid="{52664B41-B562-C54A-83AF-A7EAC05D720E}"/>
    <hyperlink ref="A48" r:id="rId12" display="file:///en/about" xr:uid="{6D0678D5-96AB-C746-B228-175B92335279}"/>
    <hyperlink ref="A49" r:id="rId13" display="file:///en/careers" xr:uid="{EB339BF1-EAEA-8B47-A7D2-264C6D632325}"/>
    <hyperlink ref="A50" r:id="rId14" display="file:///en/branding" xr:uid="{42045409-0AC7-E24F-AECF-1001D69F4E54}"/>
    <hyperlink ref="A51" location="collapseHelp" display="collapseHelp" xr:uid="{D9B2F356-8094-C243-B5AB-40AC275CD0FA}"/>
    <hyperlink ref="A52" r:id="rId15" display="file:///en/premium" xr:uid="{55C71A14-383B-974D-8670-BD2614E802C6}"/>
    <hyperlink ref="A53" r:id="rId16" display="file:///en/faq" xr:uid="{216769D9-0CEB-2D46-97BE-56E2AC4095B3}"/>
    <hyperlink ref="A54" r:id="rId17" display="https://support.coingecko.com/help_center" xr:uid="{7705DBE4-CCB6-8C48-B051-35B3A6E45DFC}"/>
    <hyperlink ref="A55" r:id="rId18" display="https://support.coingecko.com/" xr:uid="{621737AE-2A7F-F540-A823-255714D4258A}"/>
    <hyperlink ref="A56" r:id="rId19" display="https://hackenproof.com/coingecko/coingecko" xr:uid="{0C0C6F05-3D0D-8048-AC66-0611B6143CFE}"/>
    <hyperlink ref="A57" xr:uid="{7B776317-94A0-B940-BA1F-8F4A3B76F0E3}"/>
    <hyperlink ref="A59" r:id="rId20" display="file:///en" xr:uid="{426094DC-CDBF-6944-ABDF-0C6F05841CBA}"/>
    <hyperlink ref="A60" r:id="rId21" display="file:///de" xr:uid="{522BFC5A-705C-6D4C-B905-FE15FD1F557F}"/>
    <hyperlink ref="A61" r:id="rId22" display="file:///es" xr:uid="{2F677EAE-735E-7840-A21D-3537D51C81B4}"/>
    <hyperlink ref="A62" r:id="rId23" display="file:///fr" xr:uid="{FB2A3DE7-CCAC-F445-899B-B6058B9F8D99}"/>
    <hyperlink ref="A63" r:id="rId24" display="file:///it" xr:uid="{D603FDDC-C9B8-5248-B236-26B5C44C79D6}"/>
    <hyperlink ref="A64" r:id="rId25" display="file:///pl" xr:uid="{2BD77338-3538-3448-B5B0-17767D8B710C}"/>
    <hyperlink ref="A65" r:id="rId26" display="file:///ro" xr:uid="{CF065FBC-9F46-9D4B-9182-C0FFCF3E38DC}"/>
    <hyperlink ref="A66" r:id="rId27" display="file:///hu" xr:uid="{DF77EA09-925F-204A-B9C7-288C17930898}"/>
    <hyperlink ref="A67" r:id="rId28" display="file:///nl" xr:uid="{9E4D0B38-B07B-AB46-9423-548C8BF0F9DF}"/>
    <hyperlink ref="A68" r:id="rId29" display="file:///pt" xr:uid="{EBD6D4B4-E13E-6E47-B2A4-FECE084BEA19}"/>
    <hyperlink ref="A69" r:id="rId30" display="file:///sv" xr:uid="{BC458215-2DBA-5E40-B829-C92804F99EA0}"/>
    <hyperlink ref="A70" r:id="rId31" display="file:///vi" xr:uid="{A3527696-FDBE-3F41-8A56-FAF5F4E0F206}"/>
    <hyperlink ref="A71" r:id="rId32" display="file:///tr" xr:uid="{438DE391-AF91-4442-AB60-F10EF2EFFA2E}"/>
    <hyperlink ref="A72" r:id="rId33" display="file:///ru" xr:uid="{09A36D31-E9E9-644F-A6ED-372F6D4E9B69}"/>
    <hyperlink ref="A73" r:id="rId34" display="file:///ja" xr:uid="{3B3FCEC0-BF44-4E48-908F-FBBD8679BF36}"/>
    <hyperlink ref="A74" r:id="rId35" display="file:///zh" xr:uid="{1E1C2F90-5142-3D4E-9D24-4718B42A3FB1}"/>
    <hyperlink ref="A75" r:id="rId36" display="file:///zh-tw" xr:uid="{94B7A63C-3EE7-114E-98CA-6DA8D9384480}"/>
    <hyperlink ref="A76" r:id="rId37" display="file:///ko" xr:uid="{EC05BE5D-C795-C14C-A74B-D193A1944136}"/>
    <hyperlink ref="A77" r:id="rId38" display="file:///ar" xr:uid="{FB682F24-BE01-3643-9C38-F7424C04C15B}"/>
    <hyperlink ref="A78" r:id="rId39" display="file:///th" xr:uid="{BBF4AC8D-740B-0648-97F4-884F9E8ABE52}"/>
    <hyperlink ref="A79" r:id="rId40" display="file:///id" xr:uid="{6032DA32-EE33-B94B-AFC9-4DB9C0BF3D26}"/>
    <hyperlink ref="A80" xr:uid="{CAD6504C-BF47-A44F-86B4-53427347001F}"/>
    <hyperlink ref="A276" r:id="rId41" display="file:///en" xr:uid="{F1DB1745-C9D7-504B-A212-C649B5877497}"/>
    <hyperlink ref="A277" r:id="rId42" display="file:///en" xr:uid="{E7C8E356-47CB-0847-89AB-3575D0692BE1}"/>
    <hyperlink ref="A278" r:id="rId43" display="file:///en/portfolio" xr:uid="{2FAC59EF-1B81-824D-AEB3-162D7772C05A}"/>
    <hyperlink ref="A279" r:id="rId44" display="file:///en/project_roles" xr:uid="{263C670D-9891-8E46-8A36-7D5A752B8C85}"/>
    <hyperlink ref="A280" r:id="rId45" display="file:///en/alerts" xr:uid="{4DB09072-64C3-2841-AD5C-FA55F97DFE0F}"/>
    <hyperlink ref="A281" r:id="rId46" display="/account/candy?locale=en" xr:uid="{59B9B126-5580-6C45-A0D7-2C4985D6E7F0}"/>
    <hyperlink ref="A282" r:id="rId47" display="/account/rewards?locale=en" xr:uid="{CC45B879-4927-8A4C-8408-7DD9A8FBDFB7}"/>
    <hyperlink ref="A283" r:id="rId48" display="/account/security?locale=en" xr:uid="{C9B114A0-461C-8742-B1DC-FB0A86250E03}"/>
    <hyperlink ref="A284" r:id="rId49" display="/account/subscriptions?locale=en" xr:uid="{1A4DF37D-6311-6344-8512-81F7B0862AB0}"/>
    <hyperlink ref="A285" r:id="rId50" display="/account/sign_out?locale=en" xr:uid="{516301CA-3E0D-8049-ABE4-7F0627042A1D}"/>
    <hyperlink ref="A287" xr:uid="{7A50E719-963A-6142-B492-C69046C55D88}"/>
    <hyperlink ref="A291" xr:uid="{A814E400-2721-FA48-A1CF-7132EDA41C28}"/>
    <hyperlink ref="A293" r:id="rId51" display="file:///en/categories/decentralized-finance-defi" xr:uid="{A88D4A1E-CF0F-3645-8022-EE30BEBA600F}"/>
    <hyperlink ref="A294" r:id="rId52" display="file:///en/nft" xr:uid="{4EC9CF5B-8322-924D-B2F9-B3F19715FA12}"/>
    <hyperlink ref="A296" r:id="rId53" display="file:///en/portfolio" xr:uid="{FDF7B27F-352A-864E-9980-B76F0DB88D5F}"/>
    <hyperlink ref="A297" xr:uid="{F3A65557-AFB5-CA40-AC44-69D0DCFC1569}"/>
    <hyperlink ref="A303" xr:uid="{4D17B178-3B91-594A-B622-D85D0685A8A0}"/>
    <hyperlink ref="A309" xr:uid="{8D9F02E6-37A2-2348-916C-72628CB1A4B1}"/>
    <hyperlink ref="A314" r:id="rId54" display="file:///en/searchbox" xr:uid="{F71632DC-E004-5843-85CB-EF9E9607D488}"/>
    <hyperlink ref="A323" xr:uid="{A898ACF3-0ACC-174D-9D59-67CC60EA7351}"/>
    <hyperlink ref="A324" xr:uid="{40210446-659D-5240-8049-66B348B8B475}"/>
    <hyperlink ref="A325" xr:uid="{62C934E0-0EA5-4E41-9D30-EDFEF7766008}"/>
    <hyperlink ref="A326" xr:uid="{27D062A2-C5AA-B243-9A35-367450DF98C4}"/>
    <hyperlink ref="A327" xr:uid="{8EB44F0D-EC19-C744-9C6F-28F89FE22EB0}"/>
    <hyperlink ref="A328" xr:uid="{52FB7D3A-22A6-B94C-9E0C-007DF5C233F5}"/>
    <hyperlink ref="A329" xr:uid="{CF7D1FC3-7C0D-E44C-A849-F7892D1716CA}"/>
    <hyperlink ref="A330" xr:uid="{7FFC12B3-9942-9C43-9736-EC18477642D0}"/>
    <hyperlink ref="A331" xr:uid="{425250D7-C88B-A64D-9910-75D58E05C186}"/>
    <hyperlink ref="A332" xr:uid="{BB22FCD4-933B-E549-97CE-40EB03CCDCAD}"/>
    <hyperlink ref="A333" xr:uid="{74E205A7-9BCC-6F40-BA08-CBF82E8E08F1}"/>
    <hyperlink ref="A334" xr:uid="{088EA4FB-E728-B747-9D6E-655BB00B1769}"/>
    <hyperlink ref="A335" xr:uid="{AF687A1F-3560-F848-9108-83E8B07D7C23}"/>
    <hyperlink ref="A336" xr:uid="{F1A6F298-8BA5-4B4F-A023-6FBC08BCBE3D}"/>
    <hyperlink ref="A337" xr:uid="{717671C7-73EF-EA49-A003-49314D637AB9}"/>
    <hyperlink ref="A338" xr:uid="{4732CEBC-E0FC-4346-BF47-7F4FAD18B452}"/>
    <hyperlink ref="A339" xr:uid="{B29D4924-38D5-0F4F-A396-AF7670E6AE44}"/>
    <hyperlink ref="A340" xr:uid="{C823CBB7-C32D-E94B-82FC-EDB0EBBC0270}"/>
    <hyperlink ref="A341" xr:uid="{CE156C92-A4D5-1547-A6B6-3F3D4D5B765D}"/>
    <hyperlink ref="A342" xr:uid="{03217F0F-38E6-C847-A13C-B5AD1A016850}"/>
    <hyperlink ref="A343" xr:uid="{1E7ABE24-F3EA-D04C-8C03-B6B4D04C3277}"/>
    <hyperlink ref="A344" xr:uid="{621F6D09-5020-074F-80F5-E0F775CBDB8E}"/>
    <hyperlink ref="A345" xr:uid="{193205BD-24AE-BF47-8821-6184B48A221A}"/>
    <hyperlink ref="A346" xr:uid="{ED4CFF2B-F5D2-4D42-9023-19DF68476921}"/>
    <hyperlink ref="A347" xr:uid="{82F0B1C4-8322-F34A-B9DF-6773FA5304C9}"/>
    <hyperlink ref="A348" xr:uid="{9BCB6EA7-64FC-1843-AB01-1BD656C2FE60}"/>
    <hyperlink ref="A349" xr:uid="{F7FF1382-6528-D14C-B331-5CF98FD06E39}"/>
    <hyperlink ref="A350" xr:uid="{CBFF4AE6-2F12-AB4F-9CE0-7372967284F3}"/>
    <hyperlink ref="A351" xr:uid="{0E5FC805-CD1B-564F-A722-31CDBA8610C6}"/>
    <hyperlink ref="A352" xr:uid="{DA3E2CB5-8267-BC46-B6FC-E85DA6753DE4}"/>
    <hyperlink ref="A353" xr:uid="{904ECF17-4960-4A46-A755-14D213576178}"/>
    <hyperlink ref="A354" xr:uid="{D4D1E959-739F-A04C-A586-81FA5F5321C2}"/>
    <hyperlink ref="A355" xr:uid="{94E3A752-9BAF-404E-94C5-69CA91EFDA96}"/>
    <hyperlink ref="A356" xr:uid="{11726B8C-2A7A-1D47-B8D8-096A443BDDBD}"/>
    <hyperlink ref="A357" xr:uid="{3495E729-C813-1E4F-98F4-7D1F3185AEBC}"/>
    <hyperlink ref="A358" xr:uid="{BE3BC72B-7999-7744-9C77-B82ED47DC982}"/>
    <hyperlink ref="A359" xr:uid="{777BCD51-941F-A946-8F27-356BE9CCC0DB}"/>
    <hyperlink ref="A360" xr:uid="{5FB1F042-4F6F-E248-8FEC-40946C7CD865}"/>
    <hyperlink ref="A361" xr:uid="{2F178365-A472-F743-8B72-C14A385D80BD}"/>
    <hyperlink ref="A362" xr:uid="{67667092-5E59-4B4F-BE9C-7ECA6E3287C9}"/>
    <hyperlink ref="A363" xr:uid="{1D35B885-73BE-9E41-8865-BB7ED96D83F3}"/>
    <hyperlink ref="A364" xr:uid="{C6AD0F05-9020-B244-BC7A-BF007BD31C97}"/>
    <hyperlink ref="A365" xr:uid="{AEDCDB1F-FAFB-9340-8988-893B083C20C4}"/>
    <hyperlink ref="A366" xr:uid="{2CD1ED01-8A0F-214E-BEF0-478886F434C7}"/>
    <hyperlink ref="A367" xr:uid="{EFF7B40A-0A6B-1845-AFB6-6029CB7277E3}"/>
    <hyperlink ref="A368" xr:uid="{2930FB74-609C-C541-9B54-DD36A7B4C6FD}"/>
    <hyperlink ref="A369" xr:uid="{51F02B99-4343-8E4D-AE00-582381C57835}"/>
    <hyperlink ref="A370" xr:uid="{9357FDA5-AB92-5842-877E-029C1B5281C6}"/>
    <hyperlink ref="A371" xr:uid="{B616432E-0BED-1642-8C66-5EC536988B8A}"/>
    <hyperlink ref="A372" xr:uid="{8C268085-20CD-2D40-9C13-9BFF62305C7C}"/>
    <hyperlink ref="A373" xr:uid="{2AF5CAD4-CCDE-E044-8741-9C5880176E40}"/>
    <hyperlink ref="A374" xr:uid="{12E36904-3412-854B-8009-7F41319B61C0}"/>
    <hyperlink ref="A375" xr:uid="{B2D32C35-A6DA-AA4F-8C8C-87A0D8A6DEF6}"/>
    <hyperlink ref="A376" xr:uid="{76B659AE-8CF1-D344-B2A0-F9E1D2DAD1EF}"/>
    <hyperlink ref="A377" xr:uid="{D2560410-4179-6B43-A461-18ACBF9B4D0F}"/>
    <hyperlink ref="A378" xr:uid="{3F85627B-4015-6041-9F91-1B942F80A414}"/>
    <hyperlink ref="A379" xr:uid="{E785C0A4-58BE-494B-82D6-40C930F1A240}"/>
    <hyperlink ref="A382" xr:uid="{80BC2648-B497-0A4B-BF6A-3F96EDF7906B}"/>
    <hyperlink ref="A386" xr:uid="{A4D465AE-AB9C-3A41-9072-A9F6C1FE7530}"/>
    <hyperlink ref="A387" xr:uid="{09CD5678-7E7F-AF4E-B334-E7683C151F4F}"/>
    <hyperlink ref="A394" xr:uid="{880EC1DE-4B7F-9D4F-9785-FDAF38049063}"/>
    <hyperlink ref="A729" location="nav-transaction-form" display="nav-transaction-form" xr:uid="{0811211E-021D-8540-B429-D8440F092B80}"/>
    <hyperlink ref="A730" location="nav-transaction-form" display="nav-transaction-form" xr:uid="{8177E152-6D4B-6745-ADAD-32732857E7F6}"/>
    <hyperlink ref="A731" location="nav-transaction-form" display="nav-transaction-form" xr:uid="{1EC6AE95-C3DC-4A4A-8309-B7EE3546B652}"/>
    <hyperlink ref="A734" xr:uid="{AAC6A84B-26BC-4F48-9D54-D98E6EEA6AB5}"/>
    <hyperlink ref="A736" xr:uid="{1AD0934B-6F54-F147-A4FD-E839F52323AC}"/>
    <hyperlink ref="A943" location="portfolio-coin-transaction-optional-field" display="portfolio-coin-transaction-optional-field" xr:uid="{59B0F49B-96A0-434C-93FD-28A5FACD8079}"/>
    <hyperlink ref="J958" r:id="rId55" display="file:///en/coins/ascendex-token" xr:uid="{C402D670-EFB2-4A4E-B46B-02BD7FD53180}"/>
    <hyperlink ref="J960" r:id="rId56" display="file:///en/coins/shiden-network" xr:uid="{4C17D07A-4368-594E-BA92-DF389A78C9D0}"/>
    <hyperlink ref="J962" r:id="rId57" display="file:///en/coins/bonfida" xr:uid="{40CFDDAF-2DC7-DE4C-8D3B-615E963116BE}"/>
    <hyperlink ref="J964" r:id="rId58" display="file:///en/coins/chia" xr:uid="{FCF51593-ACE1-3742-A57B-8EE84780B398}"/>
    <hyperlink ref="J966" r:id="rId59" display="file:///en/coins/secret" xr:uid="{07D6509B-5E2C-C84E-83AE-AD83BF41715D}"/>
    <hyperlink ref="J968" r:id="rId60" display="file:///en/coins/tribe" xr:uid="{3E686B9A-0013-3A49-9582-99FC7C452EE0}"/>
    <hyperlink ref="J970" r:id="rId61" display="file:///en/coins/status" xr:uid="{D8FF954B-E9A6-8C42-A92C-1545B1194947}"/>
    <hyperlink ref="J972" r:id="rId62" display="file:///en/coins/civic" xr:uid="{34729428-DEAA-144B-9E70-A784C4745260}"/>
    <hyperlink ref="J974" r:id="rId63" display="file:///en/coins/function-x" xr:uid="{DC547DCA-94AC-D440-A200-5FB16E912611}"/>
    <hyperlink ref="J976" r:id="rId64" display="file:///en/coins/aelf" xr:uid="{17E1CDC7-480B-7943-8E94-245B6BE27593}"/>
    <hyperlink ref="J978" r:id="rId65" display="file:///en/coins/ocean-protocol" xr:uid="{D4872C6E-DBFF-B34B-979C-DAB4501E3E4E}"/>
    <hyperlink ref="J980" r:id="rId66" display="file:///en/coins/ardor" xr:uid="{0AFA3B62-06C7-DE4F-AF59-4295529DC403}"/>
    <hyperlink ref="J982" r:id="rId67" display="file:///en/coins/prometeus" xr:uid="{459125BF-AEC0-F341-B1C5-D889118EEA5C}"/>
    <hyperlink ref="J984" r:id="rId68" display="file:///en/coins/eden" xr:uid="{36A8E197-0FCC-CD44-8CAA-114ADF0AD089}"/>
    <hyperlink ref="J986" r:id="rId69" display="file:///en/coins/tokemak" xr:uid="{00460FA9-A916-7240-8025-A69801541D05}"/>
    <hyperlink ref="J988" r:id="rId70" display="file:///en/coins/gemini-dollar" xr:uid="{99E2342F-593B-2A45-A54F-CC13BC9DC8E4}"/>
    <hyperlink ref="J990" r:id="rId71" display="file:///en/coins/pundi-x-old" xr:uid="{63FC6DFF-5AA6-FA4F-9860-0C6CC84910A1}"/>
    <hyperlink ref="J992" r:id="rId72" display="file:///en/coins/origin-protocol" xr:uid="{A34320AF-F959-7C43-AE9F-771BE2AAB23A}"/>
    <hyperlink ref="J994" r:id="rId73" display="file:///en/coins/tokamak-network" xr:uid="{CD9C0165-36C4-5048-ACB1-B552BE231739}"/>
    <hyperlink ref="J996" r:id="rId74" display="file:///en/coins/convex-crv" xr:uid="{FC4FC5D9-A200-FE41-8A6C-290C21E3D40B}"/>
    <hyperlink ref="J998" r:id="rId75" display="file:///en/coins/reef-finance" xr:uid="{5FB04F32-7B10-2644-AE3C-4307AC2E6FCF}"/>
    <hyperlink ref="J1000" r:id="rId76" display="file:///en/coins/mask-network" xr:uid="{1673ACD4-78CF-6040-8D39-B1B6F58C549D}"/>
    <hyperlink ref="J1002" r:id="rId77" display="file:///en/coins/alchemix-usd" xr:uid="{4C45EB6C-0282-1340-8817-028D2964BD94}"/>
    <hyperlink ref="J1004" r:id="rId78" display="file:///en/coins/convex-finance" xr:uid="{E2F8DF60-BAD7-0245-BCA8-0A9C5A6C17E8}"/>
    <hyperlink ref="J1006" r:id="rId79" display="file:///en/coins/venus" xr:uid="{C0B6BBE3-E410-B647-92B4-5699E584C242}"/>
    <hyperlink ref="J1008" r:id="rId80" display="file:///en/coins/numeraire" xr:uid="{850B9831-312E-794B-AEF2-99F360F0E5CA}"/>
    <hyperlink ref="J1010" r:id="rId81" display="file:///en/coins/ton-crystal" xr:uid="{B29358ED-E149-3D46-B31D-78F02DF64648}"/>
    <hyperlink ref="J1012" r:id="rId82" display="file:///en/coins/iexec-rlc" xr:uid="{2B3DD74B-EDF6-C54C-B7F2-9E389F5E8117}"/>
    <hyperlink ref="J1014" r:id="rId83" display="file:///en/coins/orion-protocol" xr:uid="{F88ED68C-0048-224D-94B6-19D2C9C0474F}"/>
    <hyperlink ref="J1016" r:id="rId84" display="file:///en/coins/cartesi" xr:uid="{A1A896FC-33A4-8B48-9CEF-BA8A4C39B2CF}"/>
    <hyperlink ref="J1018" r:id="rId85" display="file:///en/coins/bifrost" xr:uid="{DD0E764E-1DB7-7F43-AD93-AA041B72BB02}"/>
    <hyperlink ref="J1020" r:id="rId86" display="file:///en/coins/lido-dao" xr:uid="{9DE67BB7-675D-5A41-93CC-9EDEA795EF58}"/>
    <hyperlink ref="J1022" r:id="rId87" display="file:///en/coins/peakdefi" xr:uid="{24F0AEAD-BD84-3246-B34A-567B35FC9D13}"/>
    <hyperlink ref="J1024" r:id="rId88" display="file:///en/coins/rari-governance-token" xr:uid="{0DAC937B-A970-1041-953F-3B3C8740019C}"/>
    <hyperlink ref="J1026" r:id="rId89" display="file:///en/coins/maidsafecoin" xr:uid="{DBD55549-528A-7E4D-9560-5760ADFA8B7F}"/>
    <hyperlink ref="J1028" r:id="rId90" display="file:///en/coins/dero" xr:uid="{C4C8A280-0C10-C348-9E8C-19F072364C13}"/>
    <hyperlink ref="J1030" r:id="rId91" display="file:///en/coins/stormx" xr:uid="{3F63BC51-57D6-A24F-845F-4C7352983E2B}"/>
    <hyperlink ref="J1032" r:id="rId92" display="file:///en/coins/oasis-network" xr:uid="{E0A13DD0-D72E-2B4B-BA5F-2E17ACD8D319}"/>
    <hyperlink ref="J1034" r:id="rId93" display="file:///en/coins/ark" xr:uid="{2F9ED133-91FD-C443-8759-419441423537}"/>
    <hyperlink ref="J1036" r:id="rId94" display="file:///en/coins/sapphire" xr:uid="{2BE3795C-6EFB-CD4E-B5FF-84FF518BB336}"/>
    <hyperlink ref="J1038" r:id="rId95" display="file:///en/coins/allianceblock" xr:uid="{DD43E813-CC0D-794C-B260-59943AB6A815}"/>
    <hyperlink ref="J1040" r:id="rId96" display="file:///en/coins/kadena" xr:uid="{15262D4C-E0E6-C044-9634-9F741B941A70}"/>
    <hyperlink ref="J1042" r:id="rId97" display="file:///en/coins/susd" xr:uid="{22B5FD02-EA2B-B845-A39A-0AE9913738E9}"/>
    <hyperlink ref="J1044" r:id="rId98" display="file:///en/coins/alchemy-pay" xr:uid="{DAC8AF2E-0A69-104A-BD27-D8117C598DC8}"/>
    <hyperlink ref="J1046" r:id="rId99" display="file:///en/coins/balancer" xr:uid="{8425F980-21A5-9342-8938-7F6F7D957E8E}"/>
    <hyperlink ref="J1048" r:id="rId100" display="file:///en/coins/enzyme" xr:uid="{0037AD4A-6B8B-3845-8DE3-42CFEA5E6E04}"/>
    <hyperlink ref="J1050" r:id="rId101" display="file:///en/coins/adventure-gold" xr:uid="{5190F60A-AF33-EC47-B7FD-2487854BB38D}"/>
    <hyperlink ref="J1052" r:id="rId102" display="file:///en/coins/compound-uniswap" xr:uid="{D507ACCE-408E-DB4A-A809-BACFBDF822DC}"/>
    <hyperlink ref="J1054" r:id="rId103" display="file:///en/coins/sbtc" xr:uid="{24EB9FE3-D434-2E4A-B1AA-A52CA36C33DE}"/>
    <hyperlink ref="J1056" r:id="rId104" display="file:///en/coins/alien-worlds" xr:uid="{FBBC1CBD-73F6-3647-937F-F71E64021717}"/>
    <hyperlink ref="J1058" r:id="rId105" display="file:///en/coins/spell-token" xr:uid="{B0972D63-E391-CF4E-9C4D-E1ED9569008E}"/>
    <hyperlink ref="J1060" r:id="rId106" display="file:///en/coins/fun-token" xr:uid="{A0C1DDAB-C50F-C14E-B77D-03986BE49E9C}"/>
    <hyperlink ref="J1062" r:id="rId107" display="file:///en/coins/casper-network" xr:uid="{E382AEA8-9A1C-C842-A7E3-B01B823A78F5}"/>
    <hyperlink ref="J1064" r:id="rId108" display="file:///en/coins/idex" xr:uid="{A9B83DB5-C15B-B54F-B846-5CF36880F4D5}"/>
    <hyperlink ref="J1066" r:id="rId109" display="file:///en/coins/unizen" xr:uid="{A0CF2FDF-4489-B14B-ABF0-1F15F6673D63}"/>
    <hyperlink ref="J1068" r:id="rId110" display="file:///en/coins/hive" xr:uid="{544F6E13-5D88-DF46-A9AD-64C0F6DE44B7}"/>
    <hyperlink ref="J1070" r:id="rId111" display="file:///en/coins/keep-network" xr:uid="{C00A34B1-8E1B-684F-8C59-72B0CB52CC7E}"/>
    <hyperlink ref="J1072" r:id="rId112" display="file:///en/coins/klever" xr:uid="{7019AFE3-F268-8742-860D-68CCE088666B}"/>
    <hyperlink ref="J1074" r:id="rId113" display="file:///en/coins/dodo" xr:uid="{0FD72825-D6D3-1942-A5F0-B037373009EF}"/>
    <hyperlink ref="J1076" r:id="rId114" display="file:///en/coins/flex-coin" xr:uid="{D8CE2789-ABD0-8A44-9DCA-01C72A32A505}"/>
    <hyperlink ref="J1078" r:id="rId115" display="file:///en/coins/ellipsis" xr:uid="{2703E5ED-9177-8F42-BA02-ECDDC9B1DF00}"/>
    <hyperlink ref="J1080" r:id="rId116" display="file:///en/coins/my-neighbor-alice" xr:uid="{31D4AB63-9E51-614F-84D5-CE5F19078063}"/>
    <hyperlink ref="J1082" r:id="rId117" display="file:///en/coins/dawn-protocol" xr:uid="{013A33C5-9AF2-D441-BC39-7B65B1D39C03}"/>
    <hyperlink ref="J1084" r:id="rId118" display="file:///en/coins/defipulse-index" xr:uid="{A10B4D5D-EB16-0540-B524-C57A754CB047}"/>
    <hyperlink ref="J1086" r:id="rId119" display="file:///en/coins/nkn" xr:uid="{5BBE8D33-279E-6C45-8408-6E11AE5FD508}"/>
    <hyperlink ref="J1088" r:id="rId120" display="file:///en/coins/metal" xr:uid="{C0C94C71-661C-B046-A541-E36EF8862426}"/>
    <hyperlink ref="J1090" r:id="rId121" display="file:///en/coins/truefi" xr:uid="{5CCAB280-F165-CF46-B8E6-B074B9AA2849}"/>
    <hyperlink ref="J1092" r:id="rId122" display="file:///en/coins/math" xr:uid="{AC8ADC1A-96AF-B447-A124-B5CE0A6BC61E}"/>
    <hyperlink ref="J1094" r:id="rId123" display="file:///en/coins/sentinel" xr:uid="{950CB7AE-498A-ED46-98D2-65C63BC571F6}"/>
    <hyperlink ref="J1096" r:id="rId124" display="file:///en/coins/tomochain" xr:uid="{43B3DD5E-7846-C249-84F7-F72C33E3D181}"/>
    <hyperlink ref="J1098" r:id="rId125" display="file:///en/coins/orchid-protocol" xr:uid="{B4666EFE-DC3F-5645-B714-4B6B81199525}"/>
    <hyperlink ref="J1100" r:id="rId126" display="file:///en/coins/verasity" xr:uid="{D1CAED4C-B4F3-0544-838A-049067835DAF}"/>
    <hyperlink ref="J1102" r:id="rId127" display="file:///en/coins/radicle" xr:uid="{F3627DE5-342C-5143-9A05-0CE82F40D0AD}"/>
    <hyperlink ref="J1104" r:id="rId128" display="file:///en/coins/stratis" xr:uid="{F6FE0362-A730-2644-B75E-AA3EFEBAFE38}"/>
    <hyperlink ref="J1106" r:id="rId129" display="file:///en/coins/steem" xr:uid="{50978067-F79F-7E49-9CEB-2005AE4FBD20}"/>
    <hyperlink ref="J1108" r:id="rId130" display="file:///en/coins/beldex" xr:uid="{12FCCD23-7A13-2744-9367-F2A79AF902B8}"/>
    <hyperlink ref="J1110" r:id="rId131" display="file:///en/coins/derivadao" xr:uid="{A38E6644-0FEF-9A4B-82CD-EB2F5B23909D}"/>
    <hyperlink ref="J1112" r:id="rId132" display="file:///en/coins/syscoin" xr:uid="{5B3D69E7-C862-F144-93F2-BBE07D6173E4}"/>
    <hyperlink ref="J1114" r:id="rId133" display="file:///en/coins/wrapped-centrifuge" xr:uid="{79496E56-D359-7349-A84A-54F2923DD55E}"/>
    <hyperlink ref="J1116" r:id="rId134" display="file:///en/coins/tenset" xr:uid="{22367526-E774-5445-9529-A7A30C3A18C0}"/>
    <hyperlink ref="J1118" r:id="rId135" display="file:///en/coins/frax-share" xr:uid="{258B038C-6321-3E46-B26C-CF06413D7E4F}"/>
    <hyperlink ref="J1120" r:id="rId136" display="file:///en/coins/artery" xr:uid="{64980B76-BA2C-7A4D-9BF0-65926012A9FC}"/>
    <hyperlink ref="J1122" r:id="rId137" display="file:///en/coins/pac-protocol" xr:uid="{2FE4C54B-30D8-B14A-87EA-7DCD9A244B20}"/>
    <hyperlink ref="J1124" r:id="rId138" display="file:///en/coins/origintrail" xr:uid="{4D724C00-2668-234F-87BB-49592E0E1354}"/>
    <hyperlink ref="J1126" r:id="rId139" display="file:///en/coins/star-atlas" xr:uid="{15CE5277-E5E8-1541-AE2E-B4A4B731F9E1}"/>
    <hyperlink ref="J1128" r:id="rId140" display="file:///en/coins/aragon" xr:uid="{64AA2ECB-86A8-E74A-ADFD-3700C3A44F70}"/>
    <hyperlink ref="J1130" r:id="rId141" display="file:///en/coins/superfarm" xr:uid="{ED4F6CE5-CE6B-B74B-B122-328C27F8E0FF}"/>
    <hyperlink ref="J1132" r:id="rId142" display="file:///en/coins/playdapp" xr:uid="{9D335093-3539-304A-A802-03A33E8986EA}"/>
    <hyperlink ref="J1134" r:id="rId143" display="file:///en/coins/bounce" xr:uid="{2D23911D-415F-D349-9C6F-C878FED10F57}"/>
    <hyperlink ref="J1136" r:id="rId144" display="file:///en/coins/rally" xr:uid="{37C395F9-51F5-D042-89E3-EB97DEF0D91B}"/>
    <hyperlink ref="J1138" r:id="rId145" display="file:///en/coins/newscrypto-coin" xr:uid="{A1F61266-F2E8-D546-B90F-44DFF7176A94}"/>
    <hyperlink ref="J1140" r:id="rId146" display="file:///en/coins/rsk-infrastructure-framework" xr:uid="{8618F2D7-C43C-DD41-872E-22800CFBFCA3}"/>
    <hyperlink ref="J1142" r:id="rId147" display="file:///en/coins/dfi-money" xr:uid="{6A0109F6-3672-1C40-A258-826EA67D07C4}"/>
    <hyperlink ref="J1144" r:id="rId148" display="file:///en/coins/wonderland" xr:uid="{5F684714-2148-1941-8E58-8D499B90A111}"/>
    <hyperlink ref="J1146" r:id="rId149" display="file:///en/coins/alchemix" xr:uid="{1EAD2E4E-7B41-CD49-925A-C348B5C18E57}"/>
    <hyperlink ref="J1148" r:id="rId150" display="file:///en/coins/mobox" xr:uid="{C072CA93-4311-2142-B771-8CF30C17CBD2}"/>
    <hyperlink ref="J1150" r:id="rId151" display="file:///en/coins/superrare" xr:uid="{825B6471-179A-D54C-9770-CEB283AE3CCE}"/>
    <hyperlink ref="J1152" r:id="rId152" display="file:///en/coins/chromia" xr:uid="{314853EC-F696-2649-912D-66FD043B9E5B}"/>
    <hyperlink ref="J1154" r:id="rId153" display="file:///en/coins/nucypher" xr:uid="{5AE38FB9-B130-234F-903C-DDDA22CE336B}"/>
    <hyperlink ref="J1156" r:id="rId154" display="file:///en/coins/tether-gold" xr:uid="{796B5794-1987-FB45-87DE-D9F674F42A7A}"/>
    <hyperlink ref="A1159" r:id="rId155" display="/en?page=2" xr:uid="{B3424590-CC75-7845-90E1-647BC9ED076C}"/>
    <hyperlink ref="A1160" r:id="rId156" display="/en?page=1" xr:uid="{20E8CB98-7D70-9F47-BEEC-D73835264F5F}"/>
    <hyperlink ref="A1161" r:id="rId157" display="/en?page=2" xr:uid="{F20235E4-1D0E-D14D-ACCC-038CBA502131}"/>
    <hyperlink ref="A1162" r:id="rId158" display="/en?page=3" xr:uid="{F40E5D95-FE9C-5A4C-9304-EA23D7981078}"/>
    <hyperlink ref="A1163" r:id="rId159" display="/en?page=4" xr:uid="{DCAEC202-A7A6-084F-BEB3-B90F46B25E1F}"/>
    <hyperlink ref="A1164" r:id="rId160" display="/en?page=5" xr:uid="{1D68A5C9-BCB5-8B42-8AEC-F84DD661BCD2}"/>
    <hyperlink ref="A1165" r:id="rId161" display="/en?page=6" xr:uid="{425976FF-3D00-C140-AAF0-E08E72B21505}"/>
    <hyperlink ref="A1166" r:id="rId162" display="/en?page=7" xr:uid="{87595363-2C35-3D45-A69B-6750C7A2EDBE}"/>
    <hyperlink ref="A1167" xr:uid="{6A7486C4-4C29-2D4B-9CA3-71D0F8573E04}"/>
    <hyperlink ref="A1168" r:id="rId163" display="/en?page=95" xr:uid="{D8C80266-FAB7-6A4A-AA34-B3465F082135}"/>
    <hyperlink ref="A1169" r:id="rId164" display="/en?page=4" xr:uid="{AE4ECB72-022C-4549-B548-FD76BEBFDC94}"/>
    <hyperlink ref="A1173" r:id="rId165" display="file:///en/coins/dydx" xr:uid="{BD00BE6F-33B5-504A-9D4F-A91A21DDD5A6}"/>
    <hyperlink ref="A1174" r:id="rId166" display="file:///en/coins/dydx" xr:uid="{93484020-8B93-4845-AD4E-D22C865338F9}"/>
    <hyperlink ref="A1175" r:id="rId167" display="file:///en/coins/yield-app" xr:uid="{391007B0-1713-6C41-ABBC-6396AA6761CB}"/>
    <hyperlink ref="A1176" r:id="rId168" display="file:///en/coins/yield-app" xr:uid="{F5E47B04-51E5-1B4F-8F6C-1D8DEA435EFA}"/>
    <hyperlink ref="A1177" r:id="rId169" display="file:///en/coins/avalanche" xr:uid="{D883F896-E574-6540-99AE-B43F0C2075D4}"/>
    <hyperlink ref="A1178" r:id="rId170" display="file:///en/coins/avalanche" xr:uid="{C9E877BE-90AA-1943-9C14-94211828DBEA}"/>
    <hyperlink ref="A1179" r:id="rId171" display="file:///en/coins/plant-vs-undead-token" xr:uid="{F27D539D-DFF6-9B48-AA4E-C2E2011D8C78}"/>
    <hyperlink ref="A1180" r:id="rId172" display="file:///en/coins/plant-vs-undead-token" xr:uid="{C36EE02C-9A47-D84D-B598-494236475BC8}"/>
    <hyperlink ref="A1181" r:id="rId173" display="file:///en/coins/decentr" xr:uid="{0D929903-1E22-6D4A-AD08-481592DA48CF}"/>
    <hyperlink ref="A1182" r:id="rId174" display="file:///en/coins/decentr" xr:uid="{FA08B10E-F51C-354E-BA34-F3577D602305}"/>
    <hyperlink ref="A1183" r:id="rId175" display="file:///en/coins/terra-luna" xr:uid="{FB64BA11-9D40-3B4A-B9D4-4908DA2E0CA5}"/>
    <hyperlink ref="A1184" r:id="rId176" display="file:///en/coins/terra-luna" xr:uid="{7E050AA4-FE62-1642-9D1B-3F2633FD82E0}"/>
    <hyperlink ref="A1185" r:id="rId177" display="file:///en/coins/binance-coin" xr:uid="{A019D99A-F447-8B4A-8B8F-05A8E763D82E}"/>
    <hyperlink ref="A1186" r:id="rId178" display="file:///en/coins/binance-coin" xr:uid="{CB11F30F-F737-9744-9C75-553456697239}"/>
    <hyperlink ref="A1187" xr:uid="{9225A531-FDC1-D94C-A9E8-102C5F451442}"/>
    <hyperlink ref="A1188" r:id="rId179" display="file:///en/searchbox" xr:uid="{B2507BD9-2F4A-8E48-AE5C-2EB86FA2E7D8}"/>
    <hyperlink ref="A1189" r:id="rId180" display="file:///en/categories" xr:uid="{C7ED115E-1797-E143-A94A-2D757FAEFFDF}"/>
    <hyperlink ref="A1190" r:id="rId181" display="file:///en/coins/recently_added" xr:uid="{DD47321D-4149-4E4A-98DB-B3947DC018E2}"/>
    <hyperlink ref="A1194" r:id="rId182" display="file:///en/methodology" xr:uid="{6F33FF38-B44C-9C46-9857-B7EC0D6D7A3F}"/>
    <hyperlink ref="A1210" xr:uid="{DC680A41-071E-1E4B-B2E3-6F1352D2AD68}"/>
    <hyperlink ref="A1211" xr:uid="{4FD5D6FB-2065-4A46-91D9-846FA95A6CFE}"/>
    <hyperlink ref="A1214" xr:uid="{4A24A549-04D2-FD45-81B4-CD320D62CB2E}"/>
    <hyperlink ref="A1218" xr:uid="{795A5357-8440-234B-BEF0-7FA5647F4E31}"/>
    <hyperlink ref="A1222" xr:uid="{D153ACC6-B226-B246-B3BC-5EDAE2A83BD5}"/>
    <hyperlink ref="A1233" xr:uid="{6ED8A74D-FE7B-5D45-ADB7-D3B5FE7FEA49}"/>
    <hyperlink ref="A1236" r:id="rId183" display="/account/confirmation/new?locale=en" xr:uid="{45D1BBF9-192D-5F4B-B505-77B10AD2C847}"/>
    <hyperlink ref="A1238" r:id="rId184" display="file:///en/disclaimer" xr:uid="{D25C964C-B442-B44E-BD13-1439B98ED410}"/>
    <hyperlink ref="A1244" r:id="rId185" display="file:///en/about" xr:uid="{024EBCBA-4887-0D48-AFA2-8E13A4A7381B}"/>
    <hyperlink ref="A1245" r:id="rId186" display="file:///en/methodology" xr:uid="{3573BE63-FE6E-5B4E-8483-24D9B650A8A8}"/>
    <hyperlink ref="A1246" r:id="rId187" display="file:///en/careers" xr:uid="{E2E8034F-C0B2-A542-A24E-1F71F71E6280}"/>
    <hyperlink ref="A1247" r:id="rId188" display="file:///en/branding" xr:uid="{08E9C466-65F3-0B48-A0D4-F9A445263818}"/>
    <hyperlink ref="A1248" r:id="rId189" display="https://www.coingecko.com/request" xr:uid="{537A3739-7504-E740-95F1-449A8A3FC05F}"/>
    <hyperlink ref="A1249" r:id="rId190" display="https://selfserve.coingecko.com/" xr:uid="{3CB6CD9E-21F6-DC4B-9861-57123EE2D281}"/>
    <hyperlink ref="A1250" r:id="rId191" display="file:///en/faq" xr:uid="{B7D9BFE5-2EE4-9641-A585-89EFEE9B094E}"/>
    <hyperlink ref="A1252" r:id="rId192" display="file:///en/api" xr:uid="{B18133B8-CA54-C749-8557-EBABB9B97F8B}"/>
    <hyperlink ref="A1253" r:id="rId193" display="file:///en/widgets" xr:uid="{AD8CF262-8852-7E46-A823-97AC691234A9}"/>
    <hyperlink ref="A1255" xr:uid="{F0E9A975-E460-B643-A391-2B9B2B9DEF8E}"/>
    <hyperlink ref="A1261" xr:uid="{B31C7E17-1CE7-CA47-AAAE-825390010118}"/>
    <hyperlink ref="A1268" r:id="rId194" display="https://twitter.com/coingecko" xr:uid="{D0FE0B0F-70C5-2C41-820C-D5D92054FF47}"/>
    <hyperlink ref="A1269" r:id="rId195" display="https://t.me/coingecko" xr:uid="{AC2001F5-70AB-B04F-AAFF-976F9CA27756}"/>
    <hyperlink ref="A1270" r:id="rId196" display="https://t.me/coingeckonews" xr:uid="{5B573828-C25C-0F45-8DEC-08F4AE99F9B9}"/>
    <hyperlink ref="A1271" r:id="rId197" display="https://www.instagram.com/coingecko/" xr:uid="{828DFDBB-DCB3-4A49-B4C9-68586B0A6DC2}"/>
    <hyperlink ref="A1272" r:id="rId198" display="https://www.reddit.com/r/coingecko/" xr:uid="{9971DB07-86BD-F249-8F2B-26443251040A}"/>
    <hyperlink ref="A1273" r:id="rId199" display="https://discord.gg/EhrkaCH" xr:uid="{0A2214E4-7479-434B-8767-F114B3F13A6B}"/>
    <hyperlink ref="A1274" r:id="rId200" display="https://www.facebook.com/coingecko" xr:uid="{6287440A-5AF9-0240-B6AE-17745DCC07A5}"/>
    <hyperlink ref="A1275" r:id="rId201" display="https://www.youtube.com/channel/UC-OTgwOAI7KmP0eDAtqN3Ow" xr:uid="{735B021C-9A09-B745-ACD1-A0526A6F81AB}"/>
    <hyperlink ref="A1284" r:id="rId202" display="https://coingecko.page.link/app" xr:uid="{5E9DCA90-5BFF-DF49-9758-96909CEC87AA}"/>
    <hyperlink ref="A1287" r:id="rId203" display="https://coingecko.page.link/app" xr:uid="{6B036B83-92E2-CB45-BA87-3D1A19A2158E}"/>
    <hyperlink ref="A1288" r:id="rId204" display="file:///en/privacy" xr:uid="{E1777254-CEEF-0743-AE45-CC70F3332BA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GH sheet</vt:lpstr>
      <vt:lpstr>Data</vt:lpstr>
      <vt:lpstr>Sheet2</vt:lpstr>
      <vt:lpstr>Sheet3</vt:lpstr>
      <vt:lpstr>Sheet4</vt:lpstr>
      <vt:lpstr>Sheet4!coingeckopage3</vt:lpstr>
      <vt:lpstr>Sheet2!en</vt:lpstr>
      <vt:lpstr>Sheet3!en?page_2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dcterms:created xsi:type="dcterms:W3CDTF">2021-08-31T06:07:29Z</dcterms:created>
  <dcterms:modified xsi:type="dcterms:W3CDTF">2021-09-29T21:08:33Z</dcterms:modified>
  <cp:category/>
</cp:coreProperties>
</file>